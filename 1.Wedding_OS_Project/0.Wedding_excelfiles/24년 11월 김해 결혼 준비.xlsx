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ncjf133\Downloads\"/>
    </mc:Choice>
  </mc:AlternateContent>
  <xr:revisionPtr revIDLastSave="0" documentId="13_ncr:1_{9AED8176-AE89-4AC9-B827-207E02910711}" xr6:coauthVersionLast="36" xr6:coauthVersionMax="36" xr10:uidLastSave="{00000000-0000-0000-0000-000000000000}"/>
  <bookViews>
    <workbookView xWindow="-2085" yWindow="1215" windowWidth="23460" windowHeight="13155" xr2:uid="{00000000-000D-0000-FFFF-FFFF00000000}"/>
  </bookViews>
  <sheets>
    <sheet name="체크리스트" sheetId="1" r:id="rId1"/>
    <sheet name="신혼집" sheetId="6" state="hidden" r:id="rId2"/>
  </sheets>
  <calcPr calcId="191029"/>
  <extLst>
    <ext uri="GoogleSheetsCustomDataVersion2">
      <go:sheetsCustomData xmlns:go="http://customooxmlschemas.google.com/" r:id="rId10" roundtripDataChecksum="oAMZsZtjgROn6IpJX5uuX5YTlU5LwBxoBVCgcq2TKvw="/>
    </ext>
  </extLst>
</workbook>
</file>

<file path=xl/calcChain.xml><?xml version="1.0" encoding="utf-8"?>
<calcChain xmlns="http://schemas.openxmlformats.org/spreadsheetml/2006/main">
  <c r="C51" i="1" l="1"/>
  <c r="J2" i="1" s="1"/>
  <c r="E31" i="1"/>
  <c r="E9" i="1"/>
  <c r="E5" i="1"/>
  <c r="B2" i="1"/>
</calcChain>
</file>

<file path=xl/sharedStrings.xml><?xml version="1.0" encoding="utf-8"?>
<sst xmlns="http://schemas.openxmlformats.org/spreadsheetml/2006/main" count="248" uniqueCount="175">
  <si>
    <t>예식 일자</t>
  </si>
  <si>
    <t>잔여 일수</t>
  </si>
  <si>
    <t>완료 표시</t>
  </si>
  <si>
    <t>총 예산</t>
  </si>
  <si>
    <t>남은 예산</t>
  </si>
  <si>
    <t>시기</t>
  </si>
  <si>
    <t>항목</t>
  </si>
  <si>
    <t>총비용</t>
  </si>
  <si>
    <t>선금</t>
  </si>
  <si>
    <t>잔금</t>
  </si>
  <si>
    <t>일정</t>
  </si>
  <si>
    <t>비고</t>
  </si>
  <si>
    <t>TO-DO LIST</t>
  </si>
  <si>
    <t>D-250</t>
  </si>
  <si>
    <t xml:space="preserve">예식장
- 대관 (그랜드볼륨)
- 뷔페 식권 200장 (+30장)
- 본식스냅,드메 </t>
  </si>
  <si>
    <t>- 대관료 150만원
- 드메 230만원(+부케, 혼주메이크업, 플라워샤워, 그랜드스노우 무료)
- 도우미 15만원
- 사회자 30만원
Total = 425만원  /   선금:50만원 수납(+)   /   잔금:375만원 수납( - )</t>
  </si>
  <si>
    <t>예식 DVD</t>
  </si>
  <si>
    <t>-</t>
  </si>
  <si>
    <r>
      <rPr>
        <sz val="9"/>
        <color rgb="FF000000"/>
        <rFont val="Malgun Gothic"/>
        <family val="3"/>
        <charset val="129"/>
      </rPr>
      <t xml:space="preserve">업체: 비디오하우스 / - </t>
    </r>
    <r>
      <rPr>
        <b/>
        <sz val="9"/>
        <color rgb="FFFF0000"/>
        <rFont val="Malgun Gothic"/>
        <family val="3"/>
        <charset val="129"/>
      </rPr>
      <t>식순표, 모청 나올 시 보내기( )</t>
    </r>
  </si>
  <si>
    <t>D-230</t>
  </si>
  <si>
    <t>창원 위켄드비스포크(약 8주) - 12시30분예약(+)</t>
  </si>
  <si>
    <t>D-220</t>
  </si>
  <si>
    <t>예물 맞춤</t>
  </si>
  <si>
    <t>누니주얼리(약 8주) - 12시 예약(+)</t>
  </si>
  <si>
    <t>신혼 여행 예약</t>
  </si>
  <si>
    <t>신혼여행지 : 발리
총 금액 6,213,400원
- 1인 항공료 * 2 = 2,853,400
- 1인 지상비 * 2 = 3,260,000
선금 3,853,400원 입금 완료 (2024-03-25)
잔금 2,360,000원 입금 완료 (2024-10-08)</t>
  </si>
  <si>
    <t>D-200</t>
  </si>
  <si>
    <t>창원 위켄드비스포크 - 12시 예약(+)</t>
  </si>
  <si>
    <t>D-210</t>
  </si>
  <si>
    <t>신혼집 가계약</t>
  </si>
  <si>
    <t>영등포 휴젠느 A동 302호 (08/14 입주 예정)
서울 영등포구 영중로22길 5 휴젠느 A동 302호
전세 2억8000
가계약금 집주인에게 200만원 입금 완료 (집 계약 비용은 따로 기재)</t>
  </si>
  <si>
    <t>D-180</t>
  </si>
  <si>
    <t>신혼집 계약서 작성</t>
  </si>
  <si>
    <r>
      <rPr>
        <sz val="9"/>
        <color rgb="FF000000"/>
        <rFont val="Malgun Gothic"/>
        <family val="3"/>
        <charset val="129"/>
      </rPr>
      <t xml:space="preserve">계약금 5% 계약날 지급 = 1400 만원 (가계약금 포함)
</t>
    </r>
    <r>
      <rPr>
        <sz val="9"/>
        <color rgb="FFFF0000"/>
        <rFont val="Malgun Gothic"/>
        <family val="3"/>
        <charset val="129"/>
      </rPr>
      <t>잔금 입주예정일날 지급 = 280,000,000 - 14,000,000 = 266,000,000 원</t>
    </r>
  </si>
  <si>
    <t>D-170</t>
  </si>
  <si>
    <t>D-150</t>
  </si>
  <si>
    <t>창원 위켄드비스포크</t>
  </si>
  <si>
    <t>노마하우스 방문상담</t>
  </si>
  <si>
    <t>19:00 예약</t>
  </si>
  <si>
    <t>대구경비(1)</t>
  </si>
  <si>
    <t>5/25~26 숙박, 식대, 교통비, 주유비</t>
  </si>
  <si>
    <t>스튜디오 촬영 부케</t>
  </si>
  <si>
    <t>대구 - 꽃을보다  / 2개 예약(+) 부토니에 2개 서비스 / 촬영당일 7am 까지 배달해주기로</t>
  </si>
  <si>
    <t>예물수령</t>
  </si>
  <si>
    <t>누니주얼리 수령 (잔금 223만원 입금 완료)</t>
  </si>
  <si>
    <t>D-140</t>
  </si>
  <si>
    <t>스튜디오</t>
  </si>
  <si>
    <t>- 노마 원데이패키지 380만원
- 메이킹필름 50만원
- 드레스 1추가 30만원
Total = 460만원  /  선금:200만원  수납(+) /  잔금: 260만원 수납(+)</t>
  </si>
  <si>
    <t>대구경비(2)</t>
  </si>
  <si>
    <t>6/13~6/14 호텔, 식대, 교통비 등</t>
  </si>
  <si>
    <t>상견례</t>
  </si>
  <si>
    <t>김해 산정 / 예약(+) 12pm, 주말 소갈비찜정식 10명 * 49,000 / 음료 22,500</t>
  </si>
  <si>
    <t>D-120</t>
  </si>
  <si>
    <t>대출 준비</t>
  </si>
  <si>
    <r>
      <rPr>
        <sz val="9"/>
        <color rgb="FF000000"/>
        <rFont val="Malgun Gothic"/>
        <family val="3"/>
        <charset val="129"/>
      </rPr>
      <t xml:space="preserve">준비 서류(대출신청일 기준 한달이내 발급서류), 농협 서초지점(+)  / </t>
    </r>
    <r>
      <rPr>
        <b/>
        <sz val="9"/>
        <color rgb="FF000000"/>
        <rFont val="Malgun Gothic"/>
        <family val="3"/>
        <charset val="129"/>
      </rPr>
      <t>승인( )</t>
    </r>
  </si>
  <si>
    <t>D-90</t>
  </si>
  <si>
    <t>청첩장 주문</t>
  </si>
  <si>
    <t>150장 / 업체결정( OAOC )</t>
  </si>
  <si>
    <t>청첩장 제작 및 발주</t>
  </si>
  <si>
    <t>웨딩 스냅 선수정본 수령</t>
  </si>
  <si>
    <t xml:space="preserve">모바일 청첩장용 9장 선보정(20인치*1, 8인치*2 액자포함) </t>
  </si>
  <si>
    <t>모바일청첩장 제작</t>
  </si>
  <si>
    <t>선수정 보정본 받을 시 제작(+)  화환 진행 여부(X)</t>
  </si>
  <si>
    <t>여행사 미팅</t>
  </si>
  <si>
    <t>여행 한달 전 다시 연락주시기로</t>
  </si>
  <si>
    <t>D-80</t>
  </si>
  <si>
    <t>신혼집 입주</t>
  </si>
  <si>
    <t>08/14 입주
중개수수료 0.004% 1120000 중개사 지급</t>
  </si>
  <si>
    <t>입주청소</t>
  </si>
  <si>
    <t>나노나노홈케어 / 오전 / 2인청소, 약 6시간정도 소요</t>
  </si>
  <si>
    <t>이사</t>
  </si>
  <si>
    <t>D-75</t>
  </si>
  <si>
    <t>청첩장 모임&amp;발송 시작</t>
  </si>
  <si>
    <t>청첩장 모임은 인당 3만원 넘지 않게끔 예산 책정</t>
  </si>
  <si>
    <t>하객 리스트 작성</t>
  </si>
  <si>
    <t>청첩장 전달 전 전화나 카톡으로 결혼 소식 알리는 센스!</t>
  </si>
  <si>
    <t>D-45</t>
  </si>
  <si>
    <t>본식 식순 확정
- 혼인서약서, 성혼선언문 작성
- 등장 음악 등 음원 결정
- 사회자 대본 구성</t>
  </si>
  <si>
    <t>신부입장곡:
신랑입장곡:
신랑신부 행진곡: 
음원 mp3 파일로 만들어서 전달하기</t>
  </si>
  <si>
    <t>D-30</t>
  </si>
  <si>
    <t>신혼여행지 잔금 완납</t>
  </si>
  <si>
    <t>완료</t>
  </si>
  <si>
    <t>본식 드레스 가봉</t>
  </si>
  <si>
    <t>1개월~1주일 전에 가봉 / 한달전 연락오기로함 / 주말제외 월~금</t>
  </si>
  <si>
    <t>어머님들 한복 피팅</t>
  </si>
  <si>
    <t>김해 꽃비단비(아이스퀘어몰)   피팅비x. 네이버예약하고가기( - )</t>
  </si>
  <si>
    <t>포토테이블 준비(사진 인화)</t>
  </si>
  <si>
    <t>재인화해야 할 가능성도 있으니 사전에 준비</t>
  </si>
  <si>
    <t>D-20</t>
  </si>
  <si>
    <t>피로연에서 입을 원피스/구두 (활용도 높은 복장으로 구매)</t>
  </si>
  <si>
    <t>D-10</t>
  </si>
  <si>
    <t>신혼여행 경비 환전</t>
  </si>
  <si>
    <t>웨딩네일 예약</t>
  </si>
  <si>
    <t>본식 3~4일 전 일정으로 / 여나네일 16:30</t>
  </si>
  <si>
    <t>D-7</t>
  </si>
  <si>
    <t>미용실 방문
- 신랑 커트
- 신부 펌 or 염색</t>
  </si>
  <si>
    <t>일주일 전 해야 자연스러움</t>
  </si>
  <si>
    <t>D-3</t>
  </si>
  <si>
    <t>결혼식 최종 점검</t>
  </si>
  <si>
    <t>식권 번호 서명</t>
  </si>
  <si>
    <t>대인/소인 체크 필수</t>
  </si>
  <si>
    <t>D-2</t>
  </si>
  <si>
    <t>업체 연락망 제작</t>
  </si>
  <si>
    <t>식 당일 필요한 주요 업체 연락처 확인하여 연락망 제작
(가방순이, 신랑에게도 공유)</t>
  </si>
  <si>
    <t>부모님 한복 픽업</t>
  </si>
  <si>
    <t xml:space="preserve">보증금 필요 </t>
  </si>
  <si>
    <t>D-DAY</t>
  </si>
  <si>
    <t>예식</t>
  </si>
  <si>
    <t>(예비비) 당일 헬퍼비 / 식전 영상 / 식권 인쇄 등</t>
  </si>
  <si>
    <t>식대</t>
  </si>
  <si>
    <t>- 식권 인당 4만원 (추후 계산, +30장은 사용만큼만 계산)</t>
  </si>
  <si>
    <t>총합</t>
  </si>
  <si>
    <t xml:space="preserve"> </t>
  </si>
  <si>
    <t>순위</t>
  </si>
  <si>
    <t>매물 이름</t>
  </si>
  <si>
    <t>전세가</t>
  </si>
  <si>
    <t>계약 / 전용면적</t>
  </si>
  <si>
    <t>관리비</t>
  </si>
  <si>
    <t>정보</t>
  </si>
  <si>
    <t>대출, 보증보험 여부</t>
  </si>
  <si>
    <t>융자금</t>
  </si>
  <si>
    <t>실거주자 후기</t>
  </si>
  <si>
    <t>링크</t>
  </si>
  <si>
    <t>여의휴젠느</t>
  </si>
  <si>
    <t>2억 6000 ~ 2억 7000
-&gt;현재전세매물x
현)매매가 2억 9900</t>
  </si>
  <si>
    <t>25.35평/12.17평</t>
  </si>
  <si>
    <t>8~9만원</t>
  </si>
  <si>
    <t>- 9호선 국회의사당역 7분
- 5호선 영등포시장역 인접
- 여의공원,한강공원 인접
- 근처 이마트, 타임스퀘어</t>
  </si>
  <si>
    <t>https://new.land.naver.com/complexes/117304?ms=37.524094,126.909641,17&amp;a=OPST:OBYG:PRE&amp;b=B1&amp;e=RETAIL&amp;g=30000&amp;h=41&amp;i=99&amp;q=TWOROOM</t>
  </si>
  <si>
    <t>등촌크라운팰리스2차</t>
  </si>
  <si>
    <t>2억 7800 ~ 3억</t>
  </si>
  <si>
    <t>14.58평/11.28평</t>
  </si>
  <si>
    <t>9만원 ~ 15만원</t>
  </si>
  <si>
    <t>- 쓰리룸
- 스타일러 옵션
- 증미역, 가양역 근처
- 인프라(CGV, 홈플러스, 이마트)</t>
  </si>
  <si>
    <t>- 청년버팀목 가능
- 전세보증보험 가능</t>
  </si>
  <si>
    <t>없음</t>
  </si>
  <si>
    <t>https://new.land.naver.com/complexes/128365?ms=37.556723,126.85668,19&amp;a=OPST:OBYG:PRE:APT&amp;b=B1&amp;e=RETAIL&amp;g=30000&amp;h=41&amp;i=99&amp;q=TWOROOM&amp;articleNo=2413635440</t>
  </si>
  <si>
    <t>영등포휴젠느</t>
  </si>
  <si>
    <t>2억 8000 ~ 3억</t>
  </si>
  <si>
    <t>19.87평/11.75평</t>
  </si>
  <si>
    <t>9만원</t>
  </si>
  <si>
    <t>- 5호선 영등포시장역 2분</t>
  </si>
  <si>
    <t>- 청년버팀목 가능</t>
  </si>
  <si>
    <t>https://new.land.naver.com/complexes/127632?ms=37.521725,126.906123,17&amp;a=OPST:OBYG:PRE&amp;b=B1&amp;e=RETAIL&amp;g=30000&amp;h=41&amp;i=99&amp;q=TWOROOM</t>
  </si>
  <si>
    <t>동원크로루체(도시형) 1동</t>
  </si>
  <si>
    <t>2억 8350 ~ 3억</t>
  </si>
  <si>
    <t>14.56평/10.07평</t>
  </si>
  <si>
    <t>6~8만원</t>
  </si>
  <si>
    <t>- 영등포시장역5분
- 세탁기,건조기 옵션
- 시스템에어컨 두대
- 양창 채광 good
- 인프라(홈플러스,타임스퀘어 등)</t>
  </si>
  <si>
    <t>-보증보험 
-HF, 청년버팀목 가능</t>
  </si>
  <si>
    <t>https://new.land.naver.com/complexes/149199?ms=37.525695,126.907478,17&amp;a=OPST:OBYG:PRE&amp;b=B1&amp;e=RETAIL&amp;g=30000&amp;h=41&amp;i=99&amp;q=TWOROOM</t>
  </si>
  <si>
    <t>목동트라움시티1동</t>
  </si>
  <si>
    <t>2억 5400 ~ 2억 7000</t>
  </si>
  <si>
    <t>12.2평/8.45평</t>
  </si>
  <si>
    <t>- 거실, 안방 시스템에어컨
- 세탁기, 건조기(확인필요) 옵션
- 등촌역 근처</t>
  </si>
  <si>
    <t>https://new.land.naver.com/complexes/131073?ms=37.547465,126.863359,17&amp;a=OPST:OBYG:PRE&amp;b=B1&amp;e=RETAIL&amp;g=30000&amp;h=41&amp;i=99&amp;q=TWOROOM</t>
  </si>
  <si>
    <t>더해담</t>
  </si>
  <si>
    <t>2억 9000</t>
  </si>
  <si>
    <t>14.78평/9.75평</t>
  </si>
  <si>
    <t>7만원</t>
  </si>
  <si>
    <t>- 등촌역 근처
- 세탁기, 건조기(확인필요) 옵션</t>
  </si>
  <si>
    <t>시세 대비 30% 이상</t>
  </si>
  <si>
    <t>https://new.land.naver.com/complexes/148368?ms=37.54749,126.862697,17&amp;a=OPST:OBYG:PRE&amp;b=B1&amp;e=RETAIL&amp;g=30000&amp;h=41&amp;i=99&amp;q=TWOROOM</t>
  </si>
  <si>
    <t>아리움205</t>
  </si>
  <si>
    <t>2억 8000</t>
  </si>
  <si>
    <t>13.34평/9.06평</t>
  </si>
  <si>
    <t>동원에이스뷰3차</t>
  </si>
  <si>
    <t>18.57평/11.54평</t>
  </si>
  <si>
    <t>신랑 예복 맞추기</t>
  </si>
  <si>
    <t>신랑 예복 1차 가봉</t>
  </si>
  <si>
    <t>신랑 예복 2차 가봉</t>
  </si>
  <si>
    <t>신랑 예복 수령</t>
  </si>
  <si>
    <t>신랑 촬영 옷 구입</t>
  </si>
  <si>
    <t>신부 예복 구매</t>
  </si>
  <si>
    <r>
      <t>결혼 도우미 부탁
- 축주(아버님</t>
    </r>
    <r>
      <rPr>
        <sz val="9"/>
        <color rgb="FF000000"/>
        <rFont val="Segoe UI Emoji"/>
        <family val="2"/>
      </rPr>
      <t>🖤</t>
    </r>
    <r>
      <rPr>
        <sz val="9"/>
        <color rgb="FF000000"/>
        <rFont val="맑은 고딕"/>
        <family val="3"/>
        <charset val="129"/>
      </rPr>
      <t>)
- 축사(친구)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</si>
</sst>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2">
    <font>
      <sz val="10"/>
      <color rgb="FF000000"/>
      <name val="Arial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NanumGothic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222222"/>
      <name val="NanumGothic"/>
    </font>
    <font>
      <b/>
      <sz val="9"/>
      <color rgb="FFFF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  <font>
      <sz val="9"/>
      <color rgb="FF000000"/>
      <name val="Segoe UI Emoji"/>
      <family val="2"/>
    </font>
    <font>
      <sz val="9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theme="7" tint="0.79998168889431442"/>
        <bgColor rgb="FF00FF00"/>
      </patternFill>
    </fill>
    <fill>
      <patternFill patternType="solid">
        <fgColor theme="5" tint="0.79998168889431442"/>
        <bgColor rgb="FFFF99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0" borderId="1" xfId="0" applyFont="1" applyBorder="1"/>
    <xf numFmtId="0" fontId="16" fillId="3" borderId="0" xfId="0" applyFont="1" applyFill="1"/>
    <xf numFmtId="0" fontId="1" fillId="8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 wrapText="1"/>
    </xf>
    <xf numFmtId="3" fontId="3" fillId="8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0" borderId="7" xfId="0" applyFont="1" applyBorder="1"/>
    <xf numFmtId="0" fontId="10" fillId="0" borderId="9" xfId="0" applyFont="1" applyBorder="1" applyAlignment="1">
      <alignment horizontal="center" vertical="center"/>
    </xf>
    <xf numFmtId="0" fontId="6" fillId="0" borderId="4" xfId="0" applyFont="1" applyBorder="1"/>
    <xf numFmtId="0" fontId="6" fillId="0" borderId="6" xfId="0" applyFont="1" applyBorder="1"/>
    <xf numFmtId="0" fontId="4" fillId="4" borderId="3" xfId="0" applyFont="1" applyFill="1" applyBorder="1" applyAlignment="1">
      <alignment horizontal="center" vertical="center"/>
    </xf>
    <xf numFmtId="0" fontId="6" fillId="0" borderId="5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ew.land.naver.com/complexes/127632?ms=37.521725,126.906123,17&amp;a=OPST:OBYG:PRE&amp;b=B1&amp;e=RETAIL&amp;g=30000&amp;h=41&amp;i=99&amp;q=TWORO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new.land.naver.com/complexes/128365?ms=37.556723,126.85668,19&amp;a=OPST:OBYG:PRE:APT&amp;b=B1&amp;e=RETAIL&amp;g=30000&amp;h=41&amp;i=99&amp;q=TWOROOM&amp;articleNo=2413635440" TargetMode="External"/><Relationship Id="rId1" Type="http://schemas.openxmlformats.org/officeDocument/2006/relationships/hyperlink" Target="https://new.land.naver.com/complexes/117304?ms=37.524094,126.909641,17&amp;a=OPST:OBYG:PRE&amp;b=B1&amp;e=RETAIL&amp;g=30000&amp;h=41&amp;i=99&amp;q=TWOROOM" TargetMode="External"/><Relationship Id="rId6" Type="http://schemas.openxmlformats.org/officeDocument/2006/relationships/hyperlink" Target="https://new.land.naver.com/complexes/148368?ms=37.54749,126.862697,17&amp;a=OPST:OBYG:PRE&amp;b=B1&amp;e=RETAIL&amp;g=30000&amp;h=41&amp;i=99&amp;q=TWOROOM" TargetMode="External"/><Relationship Id="rId5" Type="http://schemas.openxmlformats.org/officeDocument/2006/relationships/hyperlink" Target="https://new.land.naver.com/complexes/131073?ms=37.547465,126.863359,17&amp;a=OPST:OBYG:PRE&amp;b=B1&amp;e=RETAIL&amp;g=30000&amp;h=41&amp;i=99&amp;q=TWOROOM" TargetMode="External"/><Relationship Id="rId4" Type="http://schemas.openxmlformats.org/officeDocument/2006/relationships/hyperlink" Target="https://new.land.naver.com/complexes/149199?ms=37.525695,126.907478,17&amp;a=OPST:OBYG:PRE&amp;b=B1&amp;e=RETAIL&amp;g=30000&amp;h=41&amp;i=99&amp;q=TWORO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tabSelected="1" zoomScale="115" zoomScaleNormal="115" workbookViewId="0">
      <pane ySplit="4" topLeftCell="A8" activePane="bottomLeft" state="frozen"/>
      <selection pane="bottomLeft" activeCell="G20" sqref="G20"/>
    </sheetView>
  </sheetViews>
  <sheetFormatPr defaultColWidth="12.5703125" defaultRowHeight="15" customHeight="1"/>
  <cols>
    <col min="1" max="1" width="12.5703125" bestFit="1" customWidth="1"/>
    <col min="2" max="2" width="27" bestFit="1" customWidth="1"/>
    <col min="3" max="3" width="10.5703125" bestFit="1" customWidth="1"/>
    <col min="4" max="4" width="9.5703125" bestFit="1" customWidth="1"/>
    <col min="5" max="5" width="9.85546875" bestFit="1" customWidth="1"/>
    <col min="6" max="6" width="11.28515625" bestFit="1" customWidth="1"/>
    <col min="7" max="7" width="158.42578125" bestFit="1" customWidth="1"/>
    <col min="8" max="8" width="3.140625" customWidth="1"/>
    <col min="9" max="9" width="12.5703125" bestFit="1" customWidth="1"/>
    <col min="10" max="10" width="10.5703125" bestFit="1" customWidth="1"/>
    <col min="11" max="27" width="11" customWidth="1"/>
  </cols>
  <sheetData>
    <row r="1" spans="1:27" ht="13.5">
      <c r="A1" s="1" t="s">
        <v>0</v>
      </c>
      <c r="B1" s="1" t="s">
        <v>1</v>
      </c>
      <c r="E1" s="2" t="s">
        <v>2</v>
      </c>
      <c r="F1" s="38"/>
      <c r="G1" s="3"/>
      <c r="H1" s="4"/>
      <c r="I1" s="1" t="s">
        <v>3</v>
      </c>
      <c r="J1" s="1" t="s">
        <v>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8.75" customHeight="1">
      <c r="A2" s="5">
        <v>45598</v>
      </c>
      <c r="B2" s="6" t="e">
        <f ca="1">"D-" &amp; DATEDIF(TODAY(),A2,"d")</f>
        <v>#NUM!</v>
      </c>
      <c r="E2" s="3"/>
      <c r="F2" s="3"/>
      <c r="G2" s="3"/>
      <c r="H2" s="4"/>
      <c r="I2" s="7">
        <v>36000000</v>
      </c>
      <c r="J2" s="7">
        <f>I2-C51</f>
        <v>15527100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.75" customHeight="1">
      <c r="A3" s="3"/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8.75" customHeight="1">
      <c r="A4" s="8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4"/>
      <c r="I4" s="1" t="s">
        <v>12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65.25" customHeight="1">
      <c r="A5" s="58" t="s">
        <v>13</v>
      </c>
      <c r="B5" s="39" t="s">
        <v>14</v>
      </c>
      <c r="C5" s="40">
        <v>4250000</v>
      </c>
      <c r="D5" s="40">
        <v>500000</v>
      </c>
      <c r="E5" s="52">
        <f>C5-D5</f>
        <v>3750000</v>
      </c>
      <c r="F5" s="41">
        <v>45345</v>
      </c>
      <c r="G5" s="42" t="s">
        <v>15</v>
      </c>
      <c r="H5" s="4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8.75" customHeight="1">
      <c r="A6" s="59"/>
      <c r="B6" s="43" t="s">
        <v>16</v>
      </c>
      <c r="C6" s="44" t="s">
        <v>17</v>
      </c>
      <c r="D6" s="44" t="s">
        <v>17</v>
      </c>
      <c r="E6" s="40"/>
      <c r="F6" s="45">
        <v>45349</v>
      </c>
      <c r="G6" s="46" t="s">
        <v>18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8.75" customHeight="1">
      <c r="A7" s="10" t="s">
        <v>19</v>
      </c>
      <c r="B7" s="46" t="s">
        <v>168</v>
      </c>
      <c r="C7" s="47" t="s">
        <v>17</v>
      </c>
      <c r="D7" s="48" t="s">
        <v>17</v>
      </c>
      <c r="E7" s="40"/>
      <c r="F7" s="45">
        <v>45367</v>
      </c>
      <c r="G7" s="46" t="s">
        <v>20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.75" customHeight="1">
      <c r="A8" s="11" t="s">
        <v>21</v>
      </c>
      <c r="B8" s="46" t="s">
        <v>22</v>
      </c>
      <c r="C8" s="47" t="s">
        <v>17</v>
      </c>
      <c r="D8" s="48" t="s">
        <v>17</v>
      </c>
      <c r="E8" s="40"/>
      <c r="F8" s="45">
        <v>45374</v>
      </c>
      <c r="G8" s="46" t="s">
        <v>23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2.75">
      <c r="A9" s="11" t="s">
        <v>21</v>
      </c>
      <c r="B9" s="46" t="s">
        <v>24</v>
      </c>
      <c r="C9" s="40">
        <v>6213400</v>
      </c>
      <c r="D9" s="40">
        <v>3853400</v>
      </c>
      <c r="E9" s="40">
        <f>C9-D9</f>
        <v>2360000</v>
      </c>
      <c r="F9" s="45">
        <v>45376</v>
      </c>
      <c r="G9" s="46" t="s">
        <v>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8.75" customHeight="1">
      <c r="A10" s="12" t="s">
        <v>26</v>
      </c>
      <c r="B10" s="46" t="s">
        <v>169</v>
      </c>
      <c r="C10" s="48" t="s">
        <v>17</v>
      </c>
      <c r="D10" s="48" t="s">
        <v>17</v>
      </c>
      <c r="E10" s="48" t="s">
        <v>17</v>
      </c>
      <c r="F10" s="45">
        <v>45395</v>
      </c>
      <c r="G10" s="46" t="s">
        <v>27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" t="s">
        <v>28</v>
      </c>
      <c r="B11" s="49" t="s">
        <v>29</v>
      </c>
      <c r="C11" s="48" t="s">
        <v>17</v>
      </c>
      <c r="D11" s="47" t="s">
        <v>17</v>
      </c>
      <c r="E11" s="48" t="s">
        <v>17</v>
      </c>
      <c r="F11" s="45">
        <v>45402</v>
      </c>
      <c r="G11" s="46" t="s">
        <v>30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2.25" customHeight="1">
      <c r="A12" s="11" t="s">
        <v>31</v>
      </c>
      <c r="B12" s="46" t="s">
        <v>32</v>
      </c>
      <c r="C12" s="48" t="s">
        <v>17</v>
      </c>
      <c r="D12" s="48" t="s">
        <v>17</v>
      </c>
      <c r="E12" s="48" t="s">
        <v>17</v>
      </c>
      <c r="F12" s="45">
        <v>45416</v>
      </c>
      <c r="G12" s="46" t="s">
        <v>33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8.75" customHeight="1">
      <c r="A13" s="11" t="s">
        <v>34</v>
      </c>
      <c r="B13" s="46" t="s">
        <v>170</v>
      </c>
      <c r="C13" s="48" t="s">
        <v>17</v>
      </c>
      <c r="D13" s="48" t="s">
        <v>17</v>
      </c>
      <c r="E13" s="48" t="s">
        <v>17</v>
      </c>
      <c r="F13" s="45">
        <v>45423</v>
      </c>
      <c r="G13" s="46" t="s">
        <v>27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8.75" customHeight="1">
      <c r="A14" s="53" t="s">
        <v>35</v>
      </c>
      <c r="B14" s="46" t="s">
        <v>171</v>
      </c>
      <c r="C14" s="48" t="s">
        <v>17</v>
      </c>
      <c r="D14" s="48" t="s">
        <v>17</v>
      </c>
      <c r="E14" s="48" t="s">
        <v>17</v>
      </c>
      <c r="F14" s="45">
        <v>45437</v>
      </c>
      <c r="G14" s="46" t="s">
        <v>36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8.75" customHeight="1">
      <c r="A15" s="57"/>
      <c r="B15" s="46" t="s">
        <v>37</v>
      </c>
      <c r="C15" s="47" t="s">
        <v>17</v>
      </c>
      <c r="D15" s="48" t="s">
        <v>17</v>
      </c>
      <c r="E15" s="48" t="s">
        <v>17</v>
      </c>
      <c r="F15" s="45">
        <v>45437</v>
      </c>
      <c r="G15" s="46" t="s">
        <v>38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.75" customHeight="1">
      <c r="A16" s="57"/>
      <c r="B16" s="46" t="s">
        <v>39</v>
      </c>
      <c r="C16" s="47">
        <v>343500</v>
      </c>
      <c r="D16" s="48" t="s">
        <v>17</v>
      </c>
      <c r="E16" s="48" t="s">
        <v>17</v>
      </c>
      <c r="F16" s="45">
        <v>45438</v>
      </c>
      <c r="G16" s="46" t="s">
        <v>40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>
      <c r="A17" s="57"/>
      <c r="B17" s="46" t="s">
        <v>41</v>
      </c>
      <c r="C17" s="47">
        <v>200000</v>
      </c>
      <c r="D17" s="47" t="s">
        <v>17</v>
      </c>
      <c r="E17" s="48" t="s">
        <v>17</v>
      </c>
      <c r="F17" s="45">
        <v>45439</v>
      </c>
      <c r="G17" s="46" t="s">
        <v>42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8.75" customHeight="1">
      <c r="A18" s="54"/>
      <c r="B18" s="46" t="s">
        <v>43</v>
      </c>
      <c r="C18" s="47" t="s">
        <v>17</v>
      </c>
      <c r="D18" s="48" t="s">
        <v>17</v>
      </c>
      <c r="E18" s="48" t="s">
        <v>17</v>
      </c>
      <c r="F18" s="45">
        <v>45442</v>
      </c>
      <c r="G18" s="46" t="s">
        <v>44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8.75" customHeight="1">
      <c r="A19" s="53" t="s">
        <v>45</v>
      </c>
      <c r="B19" s="42" t="s">
        <v>172</v>
      </c>
      <c r="C19" s="40">
        <v>270000</v>
      </c>
      <c r="D19" s="40" t="s">
        <v>17</v>
      </c>
      <c r="E19" s="40" t="s">
        <v>17</v>
      </c>
      <c r="F19" s="41">
        <v>45450</v>
      </c>
      <c r="G19" s="4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58.5" customHeight="1">
      <c r="A20" s="57"/>
      <c r="B20" s="42" t="s">
        <v>46</v>
      </c>
      <c r="C20" s="40">
        <v>4600000</v>
      </c>
      <c r="D20" s="40" t="s">
        <v>17</v>
      </c>
      <c r="E20" s="40" t="s">
        <v>17</v>
      </c>
      <c r="F20" s="41">
        <v>45457</v>
      </c>
      <c r="G20" s="42" t="s">
        <v>47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8.75" customHeight="1">
      <c r="A21" s="57"/>
      <c r="B21" s="49" t="s">
        <v>48</v>
      </c>
      <c r="C21" s="47">
        <v>270700</v>
      </c>
      <c r="D21" s="48" t="s">
        <v>17</v>
      </c>
      <c r="E21" s="47" t="s">
        <v>17</v>
      </c>
      <c r="F21" s="45">
        <v>45457</v>
      </c>
      <c r="G21" s="46" t="s">
        <v>49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8.75" customHeight="1">
      <c r="A22" s="54"/>
      <c r="B22" s="49" t="s">
        <v>50</v>
      </c>
      <c r="C22" s="47">
        <v>512500</v>
      </c>
      <c r="D22" s="48" t="s">
        <v>17</v>
      </c>
      <c r="E22" s="47" t="s">
        <v>17</v>
      </c>
      <c r="F22" s="45">
        <v>45459</v>
      </c>
      <c r="G22" s="46" t="s">
        <v>51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8.75" customHeight="1">
      <c r="A23" s="11" t="s">
        <v>52</v>
      </c>
      <c r="B23" s="46" t="s">
        <v>53</v>
      </c>
      <c r="C23" s="48" t="s">
        <v>17</v>
      </c>
      <c r="D23" s="48" t="s">
        <v>17</v>
      </c>
      <c r="E23" s="48" t="s">
        <v>17</v>
      </c>
      <c r="F23" s="45">
        <v>45480</v>
      </c>
      <c r="G23" s="46" t="s">
        <v>54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46.5" customHeight="1">
      <c r="A24" s="53" t="s">
        <v>55</v>
      </c>
      <c r="B24" s="49" t="s">
        <v>174</v>
      </c>
      <c r="C24" s="48" t="s">
        <v>17</v>
      </c>
      <c r="D24" s="48" t="s">
        <v>17</v>
      </c>
      <c r="E24" s="48" t="s">
        <v>17</v>
      </c>
      <c r="F24" s="48" t="s">
        <v>17</v>
      </c>
      <c r="G24" s="46" t="s">
        <v>17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8.75" customHeight="1">
      <c r="A25" s="57"/>
      <c r="B25" s="46" t="s">
        <v>56</v>
      </c>
      <c r="C25" s="47">
        <v>137500</v>
      </c>
      <c r="D25" s="48"/>
      <c r="E25" s="48"/>
      <c r="F25" s="45">
        <v>45492</v>
      </c>
      <c r="G25" s="46" t="s">
        <v>57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8.75" customHeight="1">
      <c r="A26" s="57"/>
      <c r="B26" s="46" t="s">
        <v>58</v>
      </c>
      <c r="C26" s="47" t="s">
        <v>17</v>
      </c>
      <c r="D26" s="48" t="s">
        <v>17</v>
      </c>
      <c r="E26" s="48" t="s">
        <v>17</v>
      </c>
      <c r="F26" s="45">
        <v>45496</v>
      </c>
      <c r="G26" s="49" t="s">
        <v>17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8.75" customHeight="1">
      <c r="A27" s="57"/>
      <c r="B27" s="46" t="s">
        <v>59</v>
      </c>
      <c r="C27" s="47" t="s">
        <v>17</v>
      </c>
      <c r="D27" s="48" t="s">
        <v>17</v>
      </c>
      <c r="E27" s="48" t="s">
        <v>17</v>
      </c>
      <c r="F27" s="45">
        <v>45507</v>
      </c>
      <c r="G27" s="49" t="s">
        <v>60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8.75" customHeight="1">
      <c r="A28" s="57"/>
      <c r="B28" s="46" t="s">
        <v>61</v>
      </c>
      <c r="C28" s="47">
        <v>15300</v>
      </c>
      <c r="D28" s="48" t="s">
        <v>17</v>
      </c>
      <c r="E28" s="48" t="s">
        <v>17</v>
      </c>
      <c r="F28" s="48" t="s">
        <v>17</v>
      </c>
      <c r="G28" s="49" t="s">
        <v>62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8.75" customHeight="1">
      <c r="A29" s="54"/>
      <c r="B29" s="49" t="s">
        <v>63</v>
      </c>
      <c r="C29" s="47" t="s">
        <v>17</v>
      </c>
      <c r="D29" s="48" t="s">
        <v>17</v>
      </c>
      <c r="E29" s="48" t="s">
        <v>17</v>
      </c>
      <c r="F29" s="48" t="s">
        <v>17</v>
      </c>
      <c r="G29" s="49" t="s">
        <v>64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8.25" customHeight="1">
      <c r="A30" s="53" t="s">
        <v>65</v>
      </c>
      <c r="B30" s="46" t="s">
        <v>66</v>
      </c>
      <c r="C30" s="47">
        <v>1120000</v>
      </c>
      <c r="D30" s="40" t="s">
        <v>17</v>
      </c>
      <c r="E30" s="40" t="s">
        <v>17</v>
      </c>
      <c r="F30" s="45">
        <v>45518</v>
      </c>
      <c r="G30" s="46" t="s">
        <v>67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8.75" customHeight="1">
      <c r="A31" s="57"/>
      <c r="B31" s="50" t="s">
        <v>68</v>
      </c>
      <c r="C31" s="40">
        <v>410000</v>
      </c>
      <c r="D31" s="40">
        <v>30000</v>
      </c>
      <c r="E31" s="40">
        <f>C31-D31</f>
        <v>380000</v>
      </c>
      <c r="F31" s="41">
        <v>45520</v>
      </c>
      <c r="G31" s="50" t="s">
        <v>69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8.75" customHeight="1">
      <c r="A32" s="54"/>
      <c r="B32" s="46" t="s">
        <v>70</v>
      </c>
      <c r="C32" s="40" t="s">
        <v>17</v>
      </c>
      <c r="D32" s="40" t="s">
        <v>17</v>
      </c>
      <c r="E32" s="40" t="s">
        <v>17</v>
      </c>
      <c r="F32" s="41">
        <v>45521</v>
      </c>
      <c r="G32" s="4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.75" customHeight="1">
      <c r="A33" s="53" t="s">
        <v>71</v>
      </c>
      <c r="B33" s="46" t="s">
        <v>72</v>
      </c>
      <c r="C33" s="47"/>
      <c r="D33" s="48"/>
      <c r="E33" s="48"/>
      <c r="F33" s="48"/>
      <c r="G33" s="46" t="s">
        <v>73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8.75" customHeight="1">
      <c r="A34" s="54"/>
      <c r="B34" s="46" t="s">
        <v>74</v>
      </c>
      <c r="C34" s="47"/>
      <c r="D34" s="48"/>
      <c r="E34" s="48"/>
      <c r="F34" s="48"/>
      <c r="G34" s="46" t="s">
        <v>75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46.5" customHeight="1">
      <c r="A35" s="13" t="s">
        <v>76</v>
      </c>
      <c r="B35" s="49" t="s">
        <v>77</v>
      </c>
      <c r="C35" s="48"/>
      <c r="D35" s="48"/>
      <c r="E35" s="48"/>
      <c r="F35" s="48"/>
      <c r="G35" s="49" t="s">
        <v>78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8.75" customHeight="1">
      <c r="A36" s="53" t="s">
        <v>79</v>
      </c>
      <c r="B36" s="46" t="s">
        <v>80</v>
      </c>
      <c r="C36" s="51"/>
      <c r="D36" s="51"/>
      <c r="E36" s="51"/>
      <c r="F36" s="41">
        <v>45573</v>
      </c>
      <c r="G36" s="46" t="s">
        <v>81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8.75" customHeight="1">
      <c r="A37" s="57"/>
      <c r="B37" s="46" t="s">
        <v>82</v>
      </c>
      <c r="C37" s="47">
        <v>1500000</v>
      </c>
      <c r="D37" s="51"/>
      <c r="E37" s="51"/>
      <c r="F37" s="41">
        <v>45576</v>
      </c>
      <c r="G37" s="46" t="s">
        <v>83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8.75" customHeight="1">
      <c r="A38" s="57"/>
      <c r="B38" s="46" t="s">
        <v>84</v>
      </c>
      <c r="C38" s="47">
        <v>630000</v>
      </c>
      <c r="D38" s="48"/>
      <c r="E38" s="48"/>
      <c r="F38" s="45">
        <v>45576</v>
      </c>
      <c r="G38" s="46" t="s">
        <v>85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8.75" customHeight="1">
      <c r="A39" s="54"/>
      <c r="B39" s="14" t="s">
        <v>86</v>
      </c>
      <c r="C39" s="15"/>
      <c r="D39" s="16"/>
      <c r="E39" s="16"/>
      <c r="F39" s="16"/>
      <c r="G39" s="14" t="s">
        <v>87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8.75" customHeight="1">
      <c r="A40" s="53" t="s">
        <v>88</v>
      </c>
      <c r="B40" s="14"/>
      <c r="C40" s="15"/>
      <c r="D40" s="16"/>
      <c r="E40" s="16"/>
      <c r="F40" s="16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8.75" customHeight="1">
      <c r="A41" s="54"/>
      <c r="B41" s="18" t="s">
        <v>173</v>
      </c>
      <c r="C41" s="19"/>
      <c r="D41" s="16"/>
      <c r="E41" s="16"/>
      <c r="F41" s="20"/>
      <c r="G41" s="21" t="s">
        <v>89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8.75" customHeight="1">
      <c r="A42" s="53" t="s">
        <v>90</v>
      </c>
      <c r="B42" s="14" t="s">
        <v>91</v>
      </c>
      <c r="C42" s="15"/>
      <c r="D42" s="16"/>
      <c r="E42" s="16"/>
      <c r="F42" s="16"/>
      <c r="G42" s="1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8.75" customHeight="1">
      <c r="A43" s="54"/>
      <c r="B43" s="18" t="s">
        <v>92</v>
      </c>
      <c r="C43" s="15"/>
      <c r="D43" s="16"/>
      <c r="E43" s="16"/>
      <c r="F43" s="45">
        <v>45596</v>
      </c>
      <c r="G43" s="18" t="s">
        <v>93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6">
      <c r="A44" s="11" t="s">
        <v>94</v>
      </c>
      <c r="B44" s="17" t="s">
        <v>95</v>
      </c>
      <c r="C44" s="15"/>
      <c r="D44" s="16"/>
      <c r="E44" s="16"/>
      <c r="F44" s="16"/>
      <c r="G44" s="14" t="s">
        <v>96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.75" customHeight="1">
      <c r="A45" s="53" t="s">
        <v>97</v>
      </c>
      <c r="B45" s="14" t="s">
        <v>98</v>
      </c>
      <c r="C45" s="15"/>
      <c r="D45" s="16"/>
      <c r="E45" s="16"/>
      <c r="F45" s="16"/>
      <c r="G45" s="1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8.75" customHeight="1">
      <c r="A46" s="54"/>
      <c r="B46" s="14" t="s">
        <v>99</v>
      </c>
      <c r="C46" s="15"/>
      <c r="D46" s="16"/>
      <c r="E46" s="16"/>
      <c r="F46" s="16"/>
      <c r="G46" s="14" t="s">
        <v>100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4.75" customHeight="1">
      <c r="A47" s="53" t="s">
        <v>101</v>
      </c>
      <c r="B47" s="14" t="s">
        <v>102</v>
      </c>
      <c r="C47" s="15"/>
      <c r="D47" s="16"/>
      <c r="E47" s="16"/>
      <c r="F47" s="16"/>
      <c r="G47" s="17" t="s">
        <v>103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8.75" customHeight="1">
      <c r="A48" s="54"/>
      <c r="B48" s="14" t="s">
        <v>104</v>
      </c>
      <c r="C48" s="15"/>
      <c r="D48" s="16"/>
      <c r="E48" s="16"/>
      <c r="F48" s="16"/>
      <c r="G48" s="14" t="s">
        <v>105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8.75" customHeight="1">
      <c r="A49" s="11" t="s">
        <v>106</v>
      </c>
      <c r="B49" s="14" t="s">
        <v>107</v>
      </c>
      <c r="C49" s="19"/>
      <c r="D49" s="16"/>
      <c r="E49" s="16"/>
      <c r="F49" s="16"/>
      <c r="G49" s="14" t="s">
        <v>108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1" customHeight="1">
      <c r="A50" s="11" t="s">
        <v>106</v>
      </c>
      <c r="B50" s="18" t="s">
        <v>109</v>
      </c>
      <c r="C50" s="22"/>
      <c r="D50" s="40">
        <v>500000</v>
      </c>
      <c r="E50" s="23"/>
      <c r="F50" s="24"/>
      <c r="G50" s="25" t="s">
        <v>110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21" customHeight="1">
      <c r="A51" s="55" t="s">
        <v>111</v>
      </c>
      <c r="B51" s="56"/>
      <c r="C51" s="27">
        <f>SUM(C5:C49)</f>
        <v>20472900</v>
      </c>
      <c r="D51" s="24"/>
      <c r="E51" s="23"/>
      <c r="F51" s="24"/>
      <c r="G51" s="25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5.75" customHeight="1">
      <c r="A52" s="26"/>
      <c r="B52" s="28"/>
      <c r="C52" s="26"/>
      <c r="D52" s="26"/>
      <c r="E52" s="26"/>
      <c r="F52" s="26"/>
      <c r="G52" s="28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75" customHeight="1">
      <c r="A53" s="26"/>
      <c r="B53" s="28"/>
      <c r="C53" s="26"/>
      <c r="D53" s="26"/>
      <c r="E53" s="26"/>
      <c r="F53" s="26" t="s">
        <v>112</v>
      </c>
      <c r="G53" s="28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5.75" customHeight="1">
      <c r="A54" s="26"/>
      <c r="B54" s="28"/>
      <c r="C54" s="26"/>
      <c r="D54" s="26"/>
      <c r="E54" s="26"/>
      <c r="F54" s="26"/>
      <c r="G54" s="28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 customHeight="1">
      <c r="A55" s="26"/>
      <c r="B55" s="28"/>
      <c r="C55" s="26"/>
      <c r="D55" s="26"/>
      <c r="E55" s="26"/>
      <c r="F55" s="26"/>
      <c r="G55" s="28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5.75" customHeight="1">
      <c r="A56" s="26"/>
      <c r="B56" s="28"/>
      <c r="C56" s="26"/>
      <c r="D56" s="26"/>
      <c r="E56" s="26"/>
      <c r="F56" s="26"/>
      <c r="G56" s="28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5.75" customHeight="1">
      <c r="A57" s="26"/>
      <c r="B57" s="28"/>
      <c r="C57" s="26"/>
      <c r="D57" s="26"/>
      <c r="E57" s="26"/>
      <c r="F57" s="26"/>
      <c r="G57" s="28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5.75" customHeight="1">
      <c r="A58" s="26"/>
      <c r="B58" s="28"/>
      <c r="C58" s="26"/>
      <c r="D58" s="26"/>
      <c r="E58" s="26"/>
      <c r="F58" s="26"/>
      <c r="G58" s="28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5.75" customHeight="1">
      <c r="A59" s="26"/>
      <c r="B59" s="28"/>
      <c r="C59" s="26"/>
      <c r="D59" s="26"/>
      <c r="E59" s="26"/>
      <c r="F59" s="26"/>
      <c r="G59" s="28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.75" customHeight="1">
      <c r="A60" s="26"/>
      <c r="B60" s="28"/>
      <c r="C60" s="26"/>
      <c r="D60" s="26"/>
      <c r="E60" s="26"/>
      <c r="F60" s="26"/>
      <c r="G60" s="28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75" customHeight="1">
      <c r="A61" s="26"/>
      <c r="B61" s="28"/>
      <c r="C61" s="26"/>
      <c r="D61" s="26"/>
      <c r="E61" s="26"/>
      <c r="F61" s="26"/>
      <c r="G61" s="28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.75" customHeight="1">
      <c r="A62" s="26"/>
      <c r="B62" s="28"/>
      <c r="C62" s="26"/>
      <c r="D62" s="26"/>
      <c r="E62" s="26"/>
      <c r="F62" s="26"/>
      <c r="G62" s="28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>
      <c r="A63" s="26"/>
      <c r="B63" s="28"/>
      <c r="C63" s="26"/>
      <c r="D63" s="26"/>
      <c r="E63" s="26"/>
      <c r="F63" s="26"/>
      <c r="G63" s="28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5.75" customHeight="1">
      <c r="A64" s="26"/>
      <c r="B64" s="28"/>
      <c r="C64" s="26"/>
      <c r="D64" s="26"/>
      <c r="E64" s="26"/>
      <c r="F64" s="26"/>
      <c r="G64" s="28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>
      <c r="A65" s="26"/>
      <c r="B65" s="28"/>
      <c r="C65" s="26"/>
      <c r="D65" s="26"/>
      <c r="E65" s="26"/>
      <c r="F65" s="26"/>
      <c r="G65" s="28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5.75" customHeight="1">
      <c r="A66" s="26"/>
      <c r="B66" s="28"/>
      <c r="C66" s="26"/>
      <c r="D66" s="26"/>
      <c r="E66" s="26"/>
      <c r="F66" s="26"/>
      <c r="G66" s="28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 customHeight="1">
      <c r="A67" s="26"/>
      <c r="B67" s="28"/>
      <c r="C67" s="26"/>
      <c r="D67" s="26"/>
      <c r="E67" s="26"/>
      <c r="F67" s="26"/>
      <c r="G67" s="28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 customHeight="1">
      <c r="A68" s="26"/>
      <c r="B68" s="28"/>
      <c r="C68" s="26"/>
      <c r="D68" s="26"/>
      <c r="E68" s="26"/>
      <c r="F68" s="26"/>
      <c r="G68" s="28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.75" customHeight="1">
      <c r="A69" s="26"/>
      <c r="B69" s="28"/>
      <c r="C69" s="26"/>
      <c r="D69" s="26"/>
      <c r="E69" s="26"/>
      <c r="F69" s="26"/>
      <c r="G69" s="28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.75" customHeight="1">
      <c r="A70" s="26"/>
      <c r="B70" s="28"/>
      <c r="C70" s="26"/>
      <c r="D70" s="26"/>
      <c r="E70" s="26"/>
      <c r="F70" s="26"/>
      <c r="G70" s="28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.75" customHeight="1">
      <c r="A71" s="26"/>
      <c r="B71" s="28"/>
      <c r="C71" s="26"/>
      <c r="D71" s="26"/>
      <c r="E71" s="26"/>
      <c r="F71" s="26"/>
      <c r="G71" s="28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5.75" customHeight="1">
      <c r="A72" s="26"/>
      <c r="B72" s="28"/>
      <c r="C72" s="26"/>
      <c r="D72" s="26"/>
      <c r="E72" s="26"/>
      <c r="F72" s="26"/>
      <c r="G72" s="28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.75" customHeight="1">
      <c r="A73" s="26"/>
      <c r="B73" s="28"/>
      <c r="C73" s="26"/>
      <c r="D73" s="26"/>
      <c r="E73" s="26"/>
      <c r="F73" s="26"/>
      <c r="G73" s="28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.75" customHeight="1">
      <c r="A74" s="26"/>
      <c r="B74" s="28"/>
      <c r="C74" s="26"/>
      <c r="D74" s="26"/>
      <c r="E74" s="26"/>
      <c r="F74" s="26"/>
      <c r="G74" s="28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.75" customHeight="1">
      <c r="A75" s="26"/>
      <c r="B75" s="28"/>
      <c r="C75" s="26"/>
      <c r="D75" s="26"/>
      <c r="E75" s="26"/>
      <c r="F75" s="26"/>
      <c r="G75" s="28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.75" customHeight="1">
      <c r="A76" s="26"/>
      <c r="B76" s="28"/>
      <c r="C76" s="26"/>
      <c r="D76" s="26"/>
      <c r="E76" s="26"/>
      <c r="F76" s="26"/>
      <c r="G76" s="28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.75" customHeight="1">
      <c r="A77" s="26"/>
      <c r="B77" s="28"/>
      <c r="C77" s="26"/>
      <c r="D77" s="26"/>
      <c r="E77" s="26"/>
      <c r="F77" s="26"/>
      <c r="G77" s="28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5.75" customHeight="1">
      <c r="A78" s="26"/>
      <c r="B78" s="28"/>
      <c r="C78" s="26"/>
      <c r="D78" s="26"/>
      <c r="E78" s="26"/>
      <c r="F78" s="26"/>
      <c r="G78" s="28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 customHeight="1">
      <c r="A79" s="26"/>
      <c r="B79" s="28"/>
      <c r="C79" s="26"/>
      <c r="D79" s="26"/>
      <c r="E79" s="26"/>
      <c r="F79" s="26"/>
      <c r="G79" s="28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5.75" customHeight="1">
      <c r="A80" s="26"/>
      <c r="B80" s="28"/>
      <c r="C80" s="26"/>
      <c r="D80" s="26"/>
      <c r="E80" s="26"/>
      <c r="F80" s="26"/>
      <c r="G80" s="28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.75" customHeight="1">
      <c r="A81" s="26"/>
      <c r="B81" s="28"/>
      <c r="C81" s="26"/>
      <c r="D81" s="26"/>
      <c r="E81" s="26"/>
      <c r="F81" s="26"/>
      <c r="G81" s="28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.75" customHeight="1">
      <c r="A82" s="26"/>
      <c r="B82" s="28"/>
      <c r="C82" s="26"/>
      <c r="D82" s="26"/>
      <c r="E82" s="26"/>
      <c r="F82" s="26"/>
      <c r="G82" s="28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.75" customHeight="1">
      <c r="A83" s="26"/>
      <c r="B83" s="28"/>
      <c r="C83" s="26"/>
      <c r="D83" s="26"/>
      <c r="E83" s="26"/>
      <c r="F83" s="26"/>
      <c r="G83" s="28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.75" customHeight="1">
      <c r="A84" s="26"/>
      <c r="B84" s="28"/>
      <c r="C84" s="26"/>
      <c r="D84" s="26"/>
      <c r="E84" s="26"/>
      <c r="F84" s="26"/>
      <c r="G84" s="28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.75" customHeight="1">
      <c r="A85" s="26"/>
      <c r="B85" s="28"/>
      <c r="C85" s="26"/>
      <c r="D85" s="26"/>
      <c r="E85" s="26"/>
      <c r="F85" s="26"/>
      <c r="G85" s="28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5.75" customHeight="1">
      <c r="A86" s="26"/>
      <c r="B86" s="28"/>
      <c r="C86" s="26"/>
      <c r="D86" s="26"/>
      <c r="E86" s="26"/>
      <c r="F86" s="26"/>
      <c r="G86" s="28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5.75" customHeight="1">
      <c r="A87" s="26"/>
      <c r="B87" s="28"/>
      <c r="C87" s="26"/>
      <c r="D87" s="26"/>
      <c r="E87" s="26"/>
      <c r="F87" s="26"/>
      <c r="G87" s="28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5.75" customHeight="1">
      <c r="A88" s="26"/>
      <c r="B88" s="28"/>
      <c r="C88" s="26"/>
      <c r="D88" s="26"/>
      <c r="E88" s="26"/>
      <c r="F88" s="26"/>
      <c r="G88" s="28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5.75" customHeight="1">
      <c r="A89" s="26"/>
      <c r="B89" s="28"/>
      <c r="C89" s="26"/>
      <c r="D89" s="26"/>
      <c r="E89" s="26"/>
      <c r="F89" s="26"/>
      <c r="G89" s="28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5.75" customHeight="1">
      <c r="A90" s="26"/>
      <c r="B90" s="28"/>
      <c r="C90" s="26"/>
      <c r="D90" s="26"/>
      <c r="E90" s="26"/>
      <c r="F90" s="26"/>
      <c r="G90" s="28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 customHeight="1">
      <c r="A91" s="26"/>
      <c r="B91" s="28"/>
      <c r="C91" s="26"/>
      <c r="D91" s="26"/>
      <c r="E91" s="26"/>
      <c r="F91" s="26"/>
      <c r="G91" s="28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5.75" customHeight="1">
      <c r="A92" s="26"/>
      <c r="B92" s="28"/>
      <c r="C92" s="26"/>
      <c r="D92" s="26"/>
      <c r="E92" s="26"/>
      <c r="F92" s="26"/>
      <c r="G92" s="28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5.75" customHeight="1">
      <c r="A93" s="26"/>
      <c r="B93" s="28"/>
      <c r="C93" s="26"/>
      <c r="D93" s="26"/>
      <c r="E93" s="26"/>
      <c r="F93" s="26"/>
      <c r="G93" s="28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.75" customHeight="1">
      <c r="A94" s="26"/>
      <c r="B94" s="28"/>
      <c r="C94" s="26"/>
      <c r="D94" s="26"/>
      <c r="E94" s="26"/>
      <c r="F94" s="26"/>
      <c r="G94" s="28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5.75" customHeight="1">
      <c r="A95" s="26"/>
      <c r="B95" s="28"/>
      <c r="C95" s="26"/>
      <c r="D95" s="26"/>
      <c r="E95" s="26"/>
      <c r="F95" s="26"/>
      <c r="G95" s="28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5.75" customHeight="1">
      <c r="A96" s="26"/>
      <c r="B96" s="28"/>
      <c r="C96" s="26"/>
      <c r="D96" s="26"/>
      <c r="E96" s="26"/>
      <c r="F96" s="26"/>
      <c r="G96" s="28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.75" customHeight="1">
      <c r="A97" s="26"/>
      <c r="B97" s="28"/>
      <c r="C97" s="26"/>
      <c r="D97" s="26"/>
      <c r="E97" s="26"/>
      <c r="F97" s="26"/>
      <c r="G97" s="28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5.75" customHeight="1">
      <c r="A98" s="26"/>
      <c r="B98" s="28"/>
      <c r="C98" s="26"/>
      <c r="D98" s="26"/>
      <c r="E98" s="26"/>
      <c r="F98" s="26"/>
      <c r="G98" s="28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.75" customHeight="1">
      <c r="A99" s="26"/>
      <c r="B99" s="28"/>
      <c r="C99" s="26"/>
      <c r="D99" s="26"/>
      <c r="E99" s="26"/>
      <c r="F99" s="26"/>
      <c r="G99" s="28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5.75" customHeight="1">
      <c r="A100" s="26"/>
      <c r="B100" s="28"/>
      <c r="C100" s="26"/>
      <c r="D100" s="26"/>
      <c r="E100" s="26"/>
      <c r="F100" s="26"/>
      <c r="G100" s="28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5.75" customHeight="1">
      <c r="A101" s="26"/>
      <c r="B101" s="28"/>
      <c r="C101" s="26"/>
      <c r="D101" s="26"/>
      <c r="E101" s="26"/>
      <c r="F101" s="26"/>
      <c r="G101" s="28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5.75" customHeight="1">
      <c r="A102" s="26"/>
      <c r="B102" s="28"/>
      <c r="C102" s="26"/>
      <c r="D102" s="26"/>
      <c r="E102" s="26"/>
      <c r="F102" s="26"/>
      <c r="G102" s="28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 customHeight="1">
      <c r="A103" s="26"/>
      <c r="B103" s="28"/>
      <c r="C103" s="26"/>
      <c r="D103" s="26"/>
      <c r="E103" s="26"/>
      <c r="F103" s="26"/>
      <c r="G103" s="28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5.75" customHeight="1">
      <c r="A104" s="26"/>
      <c r="B104" s="28"/>
      <c r="C104" s="26"/>
      <c r="D104" s="26"/>
      <c r="E104" s="26"/>
      <c r="F104" s="26"/>
      <c r="G104" s="28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5.75" customHeight="1">
      <c r="A105" s="26"/>
      <c r="B105" s="28"/>
      <c r="C105" s="26"/>
      <c r="D105" s="26"/>
      <c r="E105" s="26"/>
      <c r="F105" s="26"/>
      <c r="G105" s="28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5.75" customHeight="1">
      <c r="A106" s="26"/>
      <c r="B106" s="28"/>
      <c r="C106" s="26"/>
      <c r="D106" s="26"/>
      <c r="E106" s="26"/>
      <c r="F106" s="26"/>
      <c r="G106" s="28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5.75" customHeight="1">
      <c r="A107" s="26"/>
      <c r="B107" s="28"/>
      <c r="C107" s="26"/>
      <c r="D107" s="26"/>
      <c r="E107" s="26"/>
      <c r="F107" s="26"/>
      <c r="G107" s="28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5.75" customHeight="1">
      <c r="A108" s="26"/>
      <c r="B108" s="28"/>
      <c r="C108" s="26"/>
      <c r="D108" s="26"/>
      <c r="E108" s="26"/>
      <c r="F108" s="26"/>
      <c r="G108" s="28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5.75" customHeight="1">
      <c r="A109" s="26"/>
      <c r="B109" s="28"/>
      <c r="C109" s="26"/>
      <c r="D109" s="26"/>
      <c r="E109" s="26"/>
      <c r="F109" s="26"/>
      <c r="G109" s="28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5.75" customHeight="1">
      <c r="A110" s="26"/>
      <c r="B110" s="28"/>
      <c r="C110" s="26"/>
      <c r="D110" s="26"/>
      <c r="E110" s="26"/>
      <c r="F110" s="26"/>
      <c r="G110" s="28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5.75" customHeight="1">
      <c r="A111" s="26"/>
      <c r="B111" s="28"/>
      <c r="C111" s="26"/>
      <c r="D111" s="26"/>
      <c r="E111" s="26"/>
      <c r="F111" s="26"/>
      <c r="G111" s="28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5.75" customHeight="1">
      <c r="A112" s="26"/>
      <c r="B112" s="28"/>
      <c r="C112" s="26"/>
      <c r="D112" s="26"/>
      <c r="E112" s="26"/>
      <c r="F112" s="26"/>
      <c r="G112" s="28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5.75" customHeight="1">
      <c r="A113" s="26"/>
      <c r="B113" s="28"/>
      <c r="C113" s="26"/>
      <c r="D113" s="26"/>
      <c r="E113" s="26"/>
      <c r="F113" s="26"/>
      <c r="G113" s="28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5.75" customHeight="1">
      <c r="A114" s="26"/>
      <c r="B114" s="28"/>
      <c r="C114" s="26"/>
      <c r="D114" s="26"/>
      <c r="E114" s="26"/>
      <c r="F114" s="26"/>
      <c r="G114" s="28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5.75" customHeight="1">
      <c r="A115" s="26"/>
      <c r="B115" s="28"/>
      <c r="C115" s="26"/>
      <c r="D115" s="26"/>
      <c r="E115" s="26"/>
      <c r="F115" s="26"/>
      <c r="G115" s="28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5.75" customHeight="1">
      <c r="A116" s="26"/>
      <c r="B116" s="28"/>
      <c r="C116" s="26"/>
      <c r="D116" s="26"/>
      <c r="E116" s="26"/>
      <c r="F116" s="26"/>
      <c r="G116" s="28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5.75" customHeight="1">
      <c r="A117" s="26"/>
      <c r="B117" s="28"/>
      <c r="C117" s="26"/>
      <c r="D117" s="26"/>
      <c r="E117" s="26"/>
      <c r="F117" s="26"/>
      <c r="G117" s="28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5.75" customHeight="1">
      <c r="A118" s="26"/>
      <c r="B118" s="28"/>
      <c r="C118" s="26"/>
      <c r="D118" s="26"/>
      <c r="E118" s="26"/>
      <c r="F118" s="26"/>
      <c r="G118" s="28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5.75" customHeight="1">
      <c r="A119" s="26"/>
      <c r="B119" s="28"/>
      <c r="C119" s="26"/>
      <c r="D119" s="26"/>
      <c r="E119" s="26"/>
      <c r="F119" s="26"/>
      <c r="G119" s="28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5.75" customHeight="1">
      <c r="A120" s="26"/>
      <c r="B120" s="28"/>
      <c r="C120" s="26"/>
      <c r="D120" s="26"/>
      <c r="E120" s="26"/>
      <c r="F120" s="26"/>
      <c r="G120" s="28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5.75" customHeight="1">
      <c r="A121" s="26"/>
      <c r="B121" s="28"/>
      <c r="C121" s="26"/>
      <c r="D121" s="26"/>
      <c r="E121" s="26"/>
      <c r="F121" s="26"/>
      <c r="G121" s="28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5.75" customHeight="1">
      <c r="A122" s="26"/>
      <c r="B122" s="28"/>
      <c r="C122" s="26"/>
      <c r="D122" s="26"/>
      <c r="E122" s="26"/>
      <c r="F122" s="26"/>
      <c r="G122" s="28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5.75" customHeight="1">
      <c r="A123" s="26"/>
      <c r="B123" s="28"/>
      <c r="C123" s="26"/>
      <c r="D123" s="26"/>
      <c r="E123" s="26"/>
      <c r="F123" s="26"/>
      <c r="G123" s="28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5.75" customHeight="1">
      <c r="A124" s="26"/>
      <c r="B124" s="28"/>
      <c r="C124" s="26"/>
      <c r="D124" s="26"/>
      <c r="E124" s="26"/>
      <c r="F124" s="26"/>
      <c r="G124" s="28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5.75" customHeight="1">
      <c r="A125" s="26"/>
      <c r="B125" s="28"/>
      <c r="C125" s="26"/>
      <c r="D125" s="26"/>
      <c r="E125" s="26"/>
      <c r="F125" s="26"/>
      <c r="G125" s="28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5.75" customHeight="1">
      <c r="A126" s="26"/>
      <c r="B126" s="28"/>
      <c r="C126" s="26"/>
      <c r="D126" s="26"/>
      <c r="E126" s="26"/>
      <c r="F126" s="26"/>
      <c r="G126" s="28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5.75" customHeight="1">
      <c r="A127" s="26"/>
      <c r="B127" s="28"/>
      <c r="C127" s="26"/>
      <c r="D127" s="26"/>
      <c r="E127" s="26"/>
      <c r="F127" s="26"/>
      <c r="G127" s="28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5.75" customHeight="1">
      <c r="A128" s="26"/>
      <c r="B128" s="28"/>
      <c r="C128" s="26"/>
      <c r="D128" s="26"/>
      <c r="E128" s="26"/>
      <c r="F128" s="26"/>
      <c r="G128" s="28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5.75" customHeight="1">
      <c r="A129" s="26"/>
      <c r="B129" s="28"/>
      <c r="C129" s="26"/>
      <c r="D129" s="26"/>
      <c r="E129" s="26"/>
      <c r="F129" s="26"/>
      <c r="G129" s="28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5.75" customHeight="1">
      <c r="A130" s="26"/>
      <c r="B130" s="28"/>
      <c r="C130" s="26"/>
      <c r="D130" s="26"/>
      <c r="E130" s="26"/>
      <c r="F130" s="26"/>
      <c r="G130" s="28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5.75" customHeight="1">
      <c r="A131" s="26"/>
      <c r="B131" s="28"/>
      <c r="C131" s="26"/>
      <c r="D131" s="26"/>
      <c r="E131" s="26"/>
      <c r="F131" s="26"/>
      <c r="G131" s="28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5.75" customHeight="1">
      <c r="A132" s="26"/>
      <c r="B132" s="28"/>
      <c r="C132" s="26"/>
      <c r="D132" s="26"/>
      <c r="E132" s="26"/>
      <c r="F132" s="26"/>
      <c r="G132" s="28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5.75" customHeight="1">
      <c r="A133" s="26"/>
      <c r="B133" s="28"/>
      <c r="C133" s="26"/>
      <c r="D133" s="26"/>
      <c r="E133" s="26"/>
      <c r="F133" s="26"/>
      <c r="G133" s="28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5.75" customHeight="1">
      <c r="A134" s="26"/>
      <c r="B134" s="28"/>
      <c r="C134" s="26"/>
      <c r="D134" s="26"/>
      <c r="E134" s="26"/>
      <c r="F134" s="26"/>
      <c r="G134" s="28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5.75" customHeight="1">
      <c r="A135" s="26"/>
      <c r="B135" s="28"/>
      <c r="C135" s="26"/>
      <c r="D135" s="26"/>
      <c r="E135" s="26"/>
      <c r="F135" s="26"/>
      <c r="G135" s="28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5.75" customHeight="1">
      <c r="A136" s="26"/>
      <c r="B136" s="28"/>
      <c r="C136" s="26"/>
      <c r="D136" s="26"/>
      <c r="E136" s="26"/>
      <c r="F136" s="26"/>
      <c r="G136" s="28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5.75" customHeight="1">
      <c r="A137" s="26"/>
      <c r="B137" s="28"/>
      <c r="C137" s="26"/>
      <c r="D137" s="26"/>
      <c r="E137" s="26"/>
      <c r="F137" s="26"/>
      <c r="G137" s="28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5.75" customHeight="1">
      <c r="A138" s="26"/>
      <c r="B138" s="28"/>
      <c r="C138" s="26"/>
      <c r="D138" s="26"/>
      <c r="E138" s="26"/>
      <c r="F138" s="26"/>
      <c r="G138" s="28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5.75" customHeight="1">
      <c r="A139" s="26"/>
      <c r="B139" s="28"/>
      <c r="C139" s="26"/>
      <c r="D139" s="26"/>
      <c r="E139" s="26"/>
      <c r="F139" s="26"/>
      <c r="G139" s="28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5.75" customHeight="1">
      <c r="A140" s="26"/>
      <c r="B140" s="28"/>
      <c r="C140" s="26"/>
      <c r="D140" s="26"/>
      <c r="E140" s="26"/>
      <c r="F140" s="26"/>
      <c r="G140" s="28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5.75" customHeight="1">
      <c r="A141" s="26"/>
      <c r="B141" s="28"/>
      <c r="C141" s="26"/>
      <c r="D141" s="26"/>
      <c r="E141" s="26"/>
      <c r="F141" s="26"/>
      <c r="G141" s="28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5.75" customHeight="1">
      <c r="A142" s="26"/>
      <c r="B142" s="28"/>
      <c r="C142" s="26"/>
      <c r="D142" s="26"/>
      <c r="E142" s="26"/>
      <c r="F142" s="26"/>
      <c r="G142" s="28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5.75" customHeight="1">
      <c r="A143" s="26"/>
      <c r="B143" s="28"/>
      <c r="C143" s="26"/>
      <c r="D143" s="26"/>
      <c r="E143" s="26"/>
      <c r="F143" s="26"/>
      <c r="G143" s="28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5.75" customHeight="1">
      <c r="A144" s="26"/>
      <c r="B144" s="28"/>
      <c r="C144" s="26"/>
      <c r="D144" s="26"/>
      <c r="E144" s="26"/>
      <c r="F144" s="26"/>
      <c r="G144" s="28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5.75" customHeight="1">
      <c r="A145" s="26"/>
      <c r="B145" s="28"/>
      <c r="C145" s="26"/>
      <c r="D145" s="26"/>
      <c r="E145" s="26"/>
      <c r="F145" s="26"/>
      <c r="G145" s="28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5.75" customHeight="1">
      <c r="A146" s="26"/>
      <c r="B146" s="28"/>
      <c r="C146" s="26"/>
      <c r="D146" s="26"/>
      <c r="E146" s="26"/>
      <c r="F146" s="26"/>
      <c r="G146" s="28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5.75" customHeight="1">
      <c r="A147" s="26"/>
      <c r="B147" s="28"/>
      <c r="C147" s="26"/>
      <c r="D147" s="26"/>
      <c r="E147" s="26"/>
      <c r="F147" s="26"/>
      <c r="G147" s="28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5.75" customHeight="1">
      <c r="A148" s="26"/>
      <c r="B148" s="28"/>
      <c r="C148" s="26"/>
      <c r="D148" s="26"/>
      <c r="E148" s="26"/>
      <c r="F148" s="26"/>
      <c r="G148" s="28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5.75" customHeight="1">
      <c r="A149" s="26"/>
      <c r="B149" s="28"/>
      <c r="C149" s="26"/>
      <c r="D149" s="26"/>
      <c r="E149" s="26"/>
      <c r="F149" s="26"/>
      <c r="G149" s="28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5.75" customHeight="1">
      <c r="A150" s="26"/>
      <c r="B150" s="28"/>
      <c r="C150" s="26"/>
      <c r="D150" s="26"/>
      <c r="E150" s="26"/>
      <c r="F150" s="26"/>
      <c r="G150" s="28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5.75" customHeight="1">
      <c r="A151" s="26"/>
      <c r="B151" s="28"/>
      <c r="C151" s="26"/>
      <c r="D151" s="26"/>
      <c r="E151" s="26"/>
      <c r="F151" s="26"/>
      <c r="G151" s="28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5.75" customHeight="1">
      <c r="A152" s="26"/>
      <c r="B152" s="28"/>
      <c r="C152" s="26"/>
      <c r="D152" s="26"/>
      <c r="E152" s="26"/>
      <c r="F152" s="26"/>
      <c r="G152" s="28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5.75" customHeight="1">
      <c r="A153" s="26"/>
      <c r="B153" s="28"/>
      <c r="C153" s="26"/>
      <c r="D153" s="26"/>
      <c r="E153" s="26"/>
      <c r="F153" s="26"/>
      <c r="G153" s="28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5.75" customHeight="1">
      <c r="A154" s="26"/>
      <c r="B154" s="28"/>
      <c r="C154" s="26"/>
      <c r="D154" s="26"/>
      <c r="E154" s="26"/>
      <c r="F154" s="26"/>
      <c r="G154" s="28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5.75" customHeight="1">
      <c r="A155" s="26"/>
      <c r="B155" s="28"/>
      <c r="C155" s="26"/>
      <c r="D155" s="26"/>
      <c r="E155" s="26"/>
      <c r="F155" s="26"/>
      <c r="G155" s="28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5.75" customHeight="1">
      <c r="A156" s="26"/>
      <c r="B156" s="28"/>
      <c r="C156" s="26"/>
      <c r="D156" s="26"/>
      <c r="E156" s="26"/>
      <c r="F156" s="26"/>
      <c r="G156" s="28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5.75" customHeight="1">
      <c r="A157" s="26"/>
      <c r="B157" s="28"/>
      <c r="C157" s="26"/>
      <c r="D157" s="26"/>
      <c r="E157" s="26"/>
      <c r="F157" s="26"/>
      <c r="G157" s="28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5.75" customHeight="1">
      <c r="A158" s="26"/>
      <c r="B158" s="28"/>
      <c r="C158" s="26"/>
      <c r="D158" s="26"/>
      <c r="E158" s="26"/>
      <c r="F158" s="26"/>
      <c r="G158" s="28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5.75" customHeight="1">
      <c r="A159" s="26"/>
      <c r="B159" s="28"/>
      <c r="C159" s="26"/>
      <c r="D159" s="26"/>
      <c r="E159" s="26"/>
      <c r="F159" s="26"/>
      <c r="G159" s="28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5.75" customHeight="1">
      <c r="A160" s="26"/>
      <c r="B160" s="28"/>
      <c r="C160" s="26"/>
      <c r="D160" s="26"/>
      <c r="E160" s="26"/>
      <c r="F160" s="26"/>
      <c r="G160" s="28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5.75" customHeight="1">
      <c r="A161" s="26"/>
      <c r="B161" s="28"/>
      <c r="C161" s="26"/>
      <c r="D161" s="26"/>
      <c r="E161" s="26"/>
      <c r="F161" s="26"/>
      <c r="G161" s="28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5.75" customHeight="1">
      <c r="A162" s="26"/>
      <c r="B162" s="28"/>
      <c r="C162" s="26"/>
      <c r="D162" s="26"/>
      <c r="E162" s="26"/>
      <c r="F162" s="26"/>
      <c r="G162" s="28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5.75" customHeight="1">
      <c r="A163" s="26"/>
      <c r="B163" s="28"/>
      <c r="C163" s="26"/>
      <c r="D163" s="26"/>
      <c r="E163" s="26"/>
      <c r="F163" s="26"/>
      <c r="G163" s="28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5.75" customHeight="1">
      <c r="A164" s="26"/>
      <c r="B164" s="28"/>
      <c r="C164" s="26"/>
      <c r="D164" s="26"/>
      <c r="E164" s="26"/>
      <c r="F164" s="26"/>
      <c r="G164" s="28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5.75" customHeight="1">
      <c r="A165" s="26"/>
      <c r="B165" s="28"/>
      <c r="C165" s="26"/>
      <c r="D165" s="26"/>
      <c r="E165" s="26"/>
      <c r="F165" s="26"/>
      <c r="G165" s="28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5.75" customHeight="1">
      <c r="A166" s="26"/>
      <c r="B166" s="28"/>
      <c r="C166" s="26"/>
      <c r="D166" s="26"/>
      <c r="E166" s="26"/>
      <c r="F166" s="26"/>
      <c r="G166" s="28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5.75" customHeight="1">
      <c r="A167" s="26"/>
      <c r="B167" s="28"/>
      <c r="C167" s="26"/>
      <c r="D167" s="26"/>
      <c r="E167" s="26"/>
      <c r="F167" s="26"/>
      <c r="G167" s="28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5.75" customHeight="1">
      <c r="A168" s="26"/>
      <c r="B168" s="28"/>
      <c r="C168" s="26"/>
      <c r="D168" s="26"/>
      <c r="E168" s="26"/>
      <c r="F168" s="26"/>
      <c r="G168" s="28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5.75" customHeight="1">
      <c r="A169" s="26"/>
      <c r="B169" s="28"/>
      <c r="C169" s="26"/>
      <c r="D169" s="26"/>
      <c r="E169" s="26"/>
      <c r="F169" s="26"/>
      <c r="G169" s="28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5.75" customHeight="1">
      <c r="A170" s="26"/>
      <c r="B170" s="28"/>
      <c r="C170" s="26"/>
      <c r="D170" s="26"/>
      <c r="E170" s="26"/>
      <c r="F170" s="26"/>
      <c r="G170" s="28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5.75" customHeight="1">
      <c r="A171" s="26"/>
      <c r="B171" s="28"/>
      <c r="C171" s="26"/>
      <c r="D171" s="26"/>
      <c r="E171" s="26"/>
      <c r="F171" s="26"/>
      <c r="G171" s="28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5.75" customHeight="1">
      <c r="A172" s="26"/>
      <c r="B172" s="28"/>
      <c r="C172" s="26"/>
      <c r="D172" s="26"/>
      <c r="E172" s="26"/>
      <c r="F172" s="26"/>
      <c r="G172" s="28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5.75" customHeight="1">
      <c r="A173" s="26"/>
      <c r="B173" s="28"/>
      <c r="C173" s="26"/>
      <c r="D173" s="26"/>
      <c r="E173" s="26"/>
      <c r="F173" s="26"/>
      <c r="G173" s="28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5.75" customHeight="1">
      <c r="A174" s="26"/>
      <c r="B174" s="28"/>
      <c r="C174" s="26"/>
      <c r="D174" s="26"/>
      <c r="E174" s="26"/>
      <c r="F174" s="26"/>
      <c r="G174" s="28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5.75" customHeight="1">
      <c r="A175" s="26"/>
      <c r="B175" s="28"/>
      <c r="C175" s="26"/>
      <c r="D175" s="26"/>
      <c r="E175" s="26"/>
      <c r="F175" s="26"/>
      <c r="G175" s="28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5.75" customHeight="1">
      <c r="A176" s="26"/>
      <c r="B176" s="28"/>
      <c r="C176" s="26"/>
      <c r="D176" s="26"/>
      <c r="E176" s="26"/>
      <c r="F176" s="26"/>
      <c r="G176" s="28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5.75" customHeight="1">
      <c r="A177" s="26"/>
      <c r="B177" s="28"/>
      <c r="C177" s="26"/>
      <c r="D177" s="26"/>
      <c r="E177" s="26"/>
      <c r="F177" s="26"/>
      <c r="G177" s="28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5.75" customHeight="1">
      <c r="A178" s="26"/>
      <c r="B178" s="28"/>
      <c r="C178" s="26"/>
      <c r="D178" s="26"/>
      <c r="E178" s="26"/>
      <c r="F178" s="26"/>
      <c r="G178" s="28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5.75" customHeight="1">
      <c r="A179" s="26"/>
      <c r="B179" s="28"/>
      <c r="C179" s="26"/>
      <c r="D179" s="26"/>
      <c r="E179" s="26"/>
      <c r="F179" s="26"/>
      <c r="G179" s="28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5.75" customHeight="1">
      <c r="A180" s="26"/>
      <c r="B180" s="28"/>
      <c r="C180" s="26"/>
      <c r="D180" s="26"/>
      <c r="E180" s="26"/>
      <c r="F180" s="26"/>
      <c r="G180" s="28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5.75" customHeight="1">
      <c r="A181" s="26"/>
      <c r="B181" s="28"/>
      <c r="C181" s="26"/>
      <c r="D181" s="26"/>
      <c r="E181" s="26"/>
      <c r="F181" s="26"/>
      <c r="G181" s="28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5.75" customHeight="1">
      <c r="A182" s="26"/>
      <c r="B182" s="28"/>
      <c r="C182" s="26"/>
      <c r="D182" s="26"/>
      <c r="E182" s="26"/>
      <c r="F182" s="26"/>
      <c r="G182" s="28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5.75" customHeight="1">
      <c r="A183" s="26"/>
      <c r="B183" s="28"/>
      <c r="C183" s="26"/>
      <c r="D183" s="26"/>
      <c r="E183" s="26"/>
      <c r="F183" s="26"/>
      <c r="G183" s="28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5.75" customHeight="1">
      <c r="A184" s="26"/>
      <c r="B184" s="28"/>
      <c r="C184" s="26"/>
      <c r="D184" s="26"/>
      <c r="E184" s="26"/>
      <c r="F184" s="26"/>
      <c r="G184" s="28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5.75" customHeight="1">
      <c r="A185" s="26"/>
      <c r="B185" s="28"/>
      <c r="C185" s="26"/>
      <c r="D185" s="26"/>
      <c r="E185" s="26"/>
      <c r="F185" s="26"/>
      <c r="G185" s="28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5.75" customHeight="1">
      <c r="A186" s="26"/>
      <c r="B186" s="28"/>
      <c r="C186" s="26"/>
      <c r="D186" s="26"/>
      <c r="E186" s="26"/>
      <c r="F186" s="26"/>
      <c r="G186" s="28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5.75" customHeight="1">
      <c r="A187" s="26"/>
      <c r="B187" s="28"/>
      <c r="C187" s="26"/>
      <c r="D187" s="26"/>
      <c r="E187" s="26"/>
      <c r="F187" s="26"/>
      <c r="G187" s="28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5.75" customHeight="1">
      <c r="A188" s="26"/>
      <c r="B188" s="28"/>
      <c r="C188" s="26"/>
      <c r="D188" s="26"/>
      <c r="E188" s="26"/>
      <c r="F188" s="26"/>
      <c r="G188" s="28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5.75" customHeight="1">
      <c r="A189" s="26"/>
      <c r="B189" s="28"/>
      <c r="C189" s="26"/>
      <c r="D189" s="26"/>
      <c r="E189" s="26"/>
      <c r="F189" s="26"/>
      <c r="G189" s="28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5.75" customHeight="1">
      <c r="A190" s="26"/>
      <c r="B190" s="28"/>
      <c r="C190" s="26"/>
      <c r="D190" s="26"/>
      <c r="E190" s="26"/>
      <c r="F190" s="26"/>
      <c r="G190" s="28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5.75" customHeight="1">
      <c r="A191" s="26"/>
      <c r="B191" s="28"/>
      <c r="C191" s="26"/>
      <c r="D191" s="26"/>
      <c r="E191" s="26"/>
      <c r="F191" s="26"/>
      <c r="G191" s="28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5.75" customHeight="1">
      <c r="A192" s="26"/>
      <c r="B192" s="28"/>
      <c r="C192" s="26"/>
      <c r="D192" s="26"/>
      <c r="E192" s="26"/>
      <c r="F192" s="26"/>
      <c r="G192" s="28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5.75" customHeight="1">
      <c r="A193" s="26"/>
      <c r="B193" s="28"/>
      <c r="C193" s="26"/>
      <c r="D193" s="26"/>
      <c r="E193" s="26"/>
      <c r="F193" s="26"/>
      <c r="G193" s="28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5.75" customHeight="1">
      <c r="A194" s="26"/>
      <c r="B194" s="28"/>
      <c r="C194" s="26"/>
      <c r="D194" s="26"/>
      <c r="E194" s="26"/>
      <c r="F194" s="26"/>
      <c r="G194" s="28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5.75" customHeight="1">
      <c r="A195" s="26"/>
      <c r="B195" s="28"/>
      <c r="C195" s="26"/>
      <c r="D195" s="26"/>
      <c r="E195" s="26"/>
      <c r="F195" s="26"/>
      <c r="G195" s="28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5.75" customHeight="1">
      <c r="A196" s="26"/>
      <c r="B196" s="28"/>
      <c r="C196" s="26"/>
      <c r="D196" s="26"/>
      <c r="E196" s="26"/>
      <c r="F196" s="26"/>
      <c r="G196" s="28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5.75" customHeight="1">
      <c r="A197" s="26"/>
      <c r="B197" s="28"/>
      <c r="C197" s="26"/>
      <c r="D197" s="26"/>
      <c r="E197" s="26"/>
      <c r="F197" s="26"/>
      <c r="G197" s="28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5.75" customHeight="1">
      <c r="A198" s="26"/>
      <c r="B198" s="28"/>
      <c r="C198" s="26"/>
      <c r="D198" s="26"/>
      <c r="E198" s="26"/>
      <c r="F198" s="26"/>
      <c r="G198" s="28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5.75" customHeight="1">
      <c r="A199" s="26"/>
      <c r="B199" s="28"/>
      <c r="C199" s="26"/>
      <c r="D199" s="26"/>
      <c r="E199" s="26"/>
      <c r="F199" s="26"/>
      <c r="G199" s="28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5.75" customHeight="1">
      <c r="A200" s="26"/>
      <c r="B200" s="28"/>
      <c r="C200" s="26"/>
      <c r="D200" s="26"/>
      <c r="E200" s="26"/>
      <c r="F200" s="26"/>
      <c r="G200" s="28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5.75" customHeight="1">
      <c r="A201" s="26"/>
      <c r="B201" s="28"/>
      <c r="C201" s="26"/>
      <c r="D201" s="26"/>
      <c r="E201" s="26"/>
      <c r="F201" s="26"/>
      <c r="G201" s="28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5.75" customHeight="1">
      <c r="A202" s="26"/>
      <c r="B202" s="28"/>
      <c r="C202" s="26"/>
      <c r="D202" s="26"/>
      <c r="E202" s="26"/>
      <c r="F202" s="26"/>
      <c r="G202" s="28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5.75" customHeight="1">
      <c r="A203" s="26"/>
      <c r="B203" s="28"/>
      <c r="C203" s="26"/>
      <c r="D203" s="26"/>
      <c r="E203" s="26"/>
      <c r="F203" s="26"/>
      <c r="G203" s="28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5.75" customHeight="1">
      <c r="A204" s="26"/>
      <c r="B204" s="28"/>
      <c r="C204" s="26"/>
      <c r="D204" s="26"/>
      <c r="E204" s="26"/>
      <c r="F204" s="26"/>
      <c r="G204" s="28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5.75" customHeight="1">
      <c r="A205" s="26"/>
      <c r="B205" s="28"/>
      <c r="C205" s="26"/>
      <c r="D205" s="26"/>
      <c r="E205" s="26"/>
      <c r="F205" s="26"/>
      <c r="G205" s="28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5.75" customHeight="1">
      <c r="A206" s="26"/>
      <c r="B206" s="28"/>
      <c r="C206" s="26"/>
      <c r="D206" s="26"/>
      <c r="E206" s="26"/>
      <c r="F206" s="26"/>
      <c r="G206" s="28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5.75" customHeight="1">
      <c r="A207" s="26"/>
      <c r="B207" s="28"/>
      <c r="C207" s="26"/>
      <c r="D207" s="26"/>
      <c r="E207" s="26"/>
      <c r="F207" s="26"/>
      <c r="G207" s="28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5.75" customHeight="1">
      <c r="A208" s="26"/>
      <c r="B208" s="28"/>
      <c r="C208" s="26"/>
      <c r="D208" s="26"/>
      <c r="E208" s="26"/>
      <c r="F208" s="26"/>
      <c r="G208" s="28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5.75" customHeight="1">
      <c r="A209" s="26"/>
      <c r="B209" s="28"/>
      <c r="C209" s="26"/>
      <c r="D209" s="26"/>
      <c r="E209" s="26"/>
      <c r="F209" s="26"/>
      <c r="G209" s="28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5.75" customHeight="1">
      <c r="A210" s="26"/>
      <c r="B210" s="28"/>
      <c r="C210" s="26"/>
      <c r="D210" s="26"/>
      <c r="E210" s="26"/>
      <c r="F210" s="26"/>
      <c r="G210" s="28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5.75" customHeight="1">
      <c r="A211" s="26"/>
      <c r="B211" s="28"/>
      <c r="C211" s="26"/>
      <c r="D211" s="26"/>
      <c r="E211" s="26"/>
      <c r="F211" s="26"/>
      <c r="G211" s="28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5.75" customHeight="1">
      <c r="A212" s="26"/>
      <c r="B212" s="28"/>
      <c r="C212" s="26"/>
      <c r="D212" s="26"/>
      <c r="E212" s="26"/>
      <c r="F212" s="26"/>
      <c r="G212" s="28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5.75" customHeight="1">
      <c r="A213" s="26"/>
      <c r="B213" s="28"/>
      <c r="C213" s="26"/>
      <c r="D213" s="26"/>
      <c r="E213" s="26"/>
      <c r="F213" s="26"/>
      <c r="G213" s="28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5.75" customHeight="1">
      <c r="A214" s="26"/>
      <c r="B214" s="28"/>
      <c r="C214" s="26"/>
      <c r="D214" s="26"/>
      <c r="E214" s="26"/>
      <c r="F214" s="26"/>
      <c r="G214" s="28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5.75" customHeight="1">
      <c r="A215" s="26"/>
      <c r="B215" s="28"/>
      <c r="C215" s="26"/>
      <c r="D215" s="26"/>
      <c r="E215" s="26"/>
      <c r="F215" s="26"/>
      <c r="G215" s="28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5.75" customHeight="1">
      <c r="A216" s="26"/>
      <c r="B216" s="28"/>
      <c r="C216" s="26"/>
      <c r="D216" s="26"/>
      <c r="E216" s="26"/>
      <c r="F216" s="26"/>
      <c r="G216" s="28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5.75" customHeight="1">
      <c r="A217" s="26"/>
      <c r="B217" s="28"/>
      <c r="C217" s="26"/>
      <c r="D217" s="26"/>
      <c r="E217" s="26"/>
      <c r="F217" s="26"/>
      <c r="G217" s="28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5.75" customHeight="1">
      <c r="A218" s="26"/>
      <c r="B218" s="28"/>
      <c r="C218" s="26"/>
      <c r="D218" s="26"/>
      <c r="E218" s="26"/>
      <c r="F218" s="26"/>
      <c r="G218" s="28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5.75" customHeight="1">
      <c r="A219" s="26"/>
      <c r="B219" s="28"/>
      <c r="C219" s="26"/>
      <c r="D219" s="26"/>
      <c r="E219" s="26"/>
      <c r="F219" s="26"/>
      <c r="G219" s="28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5.75" customHeight="1">
      <c r="A220" s="26"/>
      <c r="B220" s="28"/>
      <c r="C220" s="26"/>
      <c r="D220" s="26"/>
      <c r="E220" s="26"/>
      <c r="F220" s="26"/>
      <c r="G220" s="28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5.75" customHeight="1">
      <c r="A221" s="26"/>
      <c r="B221" s="28"/>
      <c r="C221" s="26"/>
      <c r="D221" s="26"/>
      <c r="E221" s="26"/>
      <c r="F221" s="26"/>
      <c r="G221" s="28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5.75" customHeight="1">
      <c r="A222" s="26"/>
      <c r="B222" s="28"/>
      <c r="C222" s="26"/>
      <c r="D222" s="26"/>
      <c r="E222" s="26"/>
      <c r="F222" s="26"/>
      <c r="G222" s="28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5.75" customHeight="1">
      <c r="A223" s="26"/>
      <c r="B223" s="28"/>
      <c r="C223" s="26"/>
      <c r="D223" s="26"/>
      <c r="E223" s="26"/>
      <c r="F223" s="26"/>
      <c r="G223" s="28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5.75" customHeight="1">
      <c r="A224" s="26"/>
      <c r="B224" s="28"/>
      <c r="C224" s="26"/>
      <c r="D224" s="26"/>
      <c r="E224" s="26"/>
      <c r="F224" s="26"/>
      <c r="G224" s="28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5.75" customHeight="1">
      <c r="A225" s="26"/>
      <c r="B225" s="28"/>
      <c r="C225" s="26"/>
      <c r="D225" s="26"/>
      <c r="E225" s="26"/>
      <c r="F225" s="26"/>
      <c r="G225" s="28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5.75" customHeight="1">
      <c r="A226" s="26"/>
      <c r="B226" s="28"/>
      <c r="C226" s="26"/>
      <c r="D226" s="26"/>
      <c r="E226" s="26"/>
      <c r="F226" s="26"/>
      <c r="G226" s="28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5.75" customHeight="1">
      <c r="A227" s="26"/>
      <c r="B227" s="28"/>
      <c r="C227" s="26"/>
      <c r="D227" s="26"/>
      <c r="E227" s="26"/>
      <c r="F227" s="26"/>
      <c r="G227" s="28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5.75" customHeight="1">
      <c r="A228" s="26"/>
      <c r="B228" s="28"/>
      <c r="C228" s="26"/>
      <c r="D228" s="26"/>
      <c r="E228" s="26"/>
      <c r="F228" s="26"/>
      <c r="G228" s="28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5.75" customHeight="1">
      <c r="A229" s="26"/>
      <c r="B229" s="28"/>
      <c r="C229" s="26"/>
      <c r="D229" s="26"/>
      <c r="E229" s="26"/>
      <c r="F229" s="26"/>
      <c r="G229" s="28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5.75" customHeight="1">
      <c r="A230" s="26"/>
      <c r="B230" s="28"/>
      <c r="C230" s="26"/>
      <c r="D230" s="26"/>
      <c r="E230" s="26"/>
      <c r="F230" s="26"/>
      <c r="G230" s="28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5.75" customHeight="1">
      <c r="A231" s="26"/>
      <c r="B231" s="28"/>
      <c r="C231" s="26"/>
      <c r="D231" s="26"/>
      <c r="E231" s="26"/>
      <c r="F231" s="26"/>
      <c r="G231" s="28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5.75" customHeight="1">
      <c r="A232" s="26"/>
      <c r="B232" s="28"/>
      <c r="C232" s="26"/>
      <c r="D232" s="26"/>
      <c r="E232" s="26"/>
      <c r="F232" s="26"/>
      <c r="G232" s="28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5.75" customHeight="1">
      <c r="A233" s="26"/>
      <c r="B233" s="28"/>
      <c r="C233" s="26"/>
      <c r="D233" s="26"/>
      <c r="E233" s="26"/>
      <c r="F233" s="26"/>
      <c r="G233" s="28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5.75" customHeight="1">
      <c r="A234" s="26"/>
      <c r="B234" s="28"/>
      <c r="C234" s="26"/>
      <c r="D234" s="26"/>
      <c r="E234" s="26"/>
      <c r="F234" s="26"/>
      <c r="G234" s="28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5.75" customHeight="1">
      <c r="A235" s="26"/>
      <c r="B235" s="28"/>
      <c r="C235" s="26"/>
      <c r="D235" s="26"/>
      <c r="E235" s="26"/>
      <c r="F235" s="26"/>
      <c r="G235" s="28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5.75" customHeight="1">
      <c r="A236" s="26"/>
      <c r="B236" s="28"/>
      <c r="C236" s="26"/>
      <c r="D236" s="26"/>
      <c r="E236" s="26"/>
      <c r="F236" s="26"/>
      <c r="G236" s="28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5.75" customHeight="1">
      <c r="A237" s="26"/>
      <c r="B237" s="28"/>
      <c r="C237" s="26"/>
      <c r="D237" s="26"/>
      <c r="E237" s="26"/>
      <c r="F237" s="26"/>
      <c r="G237" s="28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5.75" customHeight="1">
      <c r="A238" s="26"/>
      <c r="B238" s="28"/>
      <c r="C238" s="26"/>
      <c r="D238" s="26"/>
      <c r="E238" s="26"/>
      <c r="F238" s="26"/>
      <c r="G238" s="28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5.75" customHeight="1">
      <c r="A239" s="26"/>
      <c r="B239" s="28"/>
      <c r="C239" s="26"/>
      <c r="D239" s="26"/>
      <c r="E239" s="26"/>
      <c r="F239" s="26"/>
      <c r="G239" s="28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5.75" customHeight="1">
      <c r="A240" s="26"/>
      <c r="B240" s="28"/>
      <c r="C240" s="26"/>
      <c r="D240" s="26"/>
      <c r="E240" s="26"/>
      <c r="F240" s="26"/>
      <c r="G240" s="28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5.75" customHeight="1">
      <c r="A241" s="26"/>
      <c r="B241" s="28"/>
      <c r="C241" s="26"/>
      <c r="D241" s="26"/>
      <c r="E241" s="26"/>
      <c r="F241" s="26"/>
      <c r="G241" s="28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5.75" customHeight="1">
      <c r="A242" s="26"/>
      <c r="B242" s="28"/>
      <c r="C242" s="26"/>
      <c r="D242" s="26"/>
      <c r="E242" s="26"/>
      <c r="F242" s="26"/>
      <c r="G242" s="28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5.75" customHeight="1">
      <c r="A243" s="26"/>
      <c r="B243" s="28"/>
      <c r="C243" s="26"/>
      <c r="D243" s="26"/>
      <c r="E243" s="26"/>
      <c r="F243" s="26"/>
      <c r="G243" s="28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5.75" customHeight="1">
      <c r="A244" s="26"/>
      <c r="B244" s="28"/>
      <c r="C244" s="26"/>
      <c r="D244" s="26"/>
      <c r="E244" s="26"/>
      <c r="F244" s="26"/>
      <c r="G244" s="28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5.75" customHeight="1">
      <c r="A245" s="26"/>
      <c r="B245" s="28"/>
      <c r="C245" s="26"/>
      <c r="D245" s="26"/>
      <c r="E245" s="26"/>
      <c r="F245" s="26"/>
      <c r="G245" s="28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5.75" customHeight="1">
      <c r="A246" s="26"/>
      <c r="B246" s="28"/>
      <c r="C246" s="26"/>
      <c r="D246" s="26"/>
      <c r="E246" s="26"/>
      <c r="F246" s="26"/>
      <c r="G246" s="28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5.75" customHeight="1">
      <c r="A247" s="26"/>
      <c r="B247" s="28"/>
      <c r="C247" s="26"/>
      <c r="D247" s="26"/>
      <c r="E247" s="26"/>
      <c r="F247" s="26"/>
      <c r="G247" s="28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5.75" customHeight="1">
      <c r="A248" s="26"/>
      <c r="B248" s="28"/>
      <c r="C248" s="26"/>
      <c r="D248" s="26"/>
      <c r="E248" s="26"/>
      <c r="F248" s="26"/>
      <c r="G248" s="28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5.75" customHeight="1">
      <c r="A249" s="26"/>
      <c r="B249" s="28"/>
      <c r="C249" s="26"/>
      <c r="D249" s="26"/>
      <c r="E249" s="26"/>
      <c r="F249" s="26"/>
      <c r="G249" s="28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5.75" customHeight="1">
      <c r="A250" s="26"/>
      <c r="B250" s="28"/>
      <c r="C250" s="26"/>
      <c r="D250" s="26"/>
      <c r="E250" s="26"/>
      <c r="F250" s="26"/>
      <c r="G250" s="28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5.75" customHeight="1">
      <c r="A251" s="26"/>
      <c r="B251" s="28"/>
      <c r="C251" s="26"/>
      <c r="D251" s="26"/>
      <c r="E251" s="26"/>
      <c r="F251" s="26"/>
      <c r="G251" s="28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5.75" customHeight="1"/>
    <row r="253" spans="1:27" ht="15.75" customHeight="1"/>
    <row r="254" spans="1:27" ht="15.75" customHeight="1"/>
    <row r="255" spans="1:27" ht="15.75" customHeight="1"/>
    <row r="256" spans="1:2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A33:A34"/>
    <mergeCell ref="A36:A39"/>
    <mergeCell ref="A5:A6"/>
    <mergeCell ref="A14:A18"/>
    <mergeCell ref="A19:A22"/>
    <mergeCell ref="A24:A29"/>
    <mergeCell ref="A30:A32"/>
    <mergeCell ref="A40:A41"/>
    <mergeCell ref="A42:A43"/>
    <mergeCell ref="A45:A46"/>
    <mergeCell ref="A47:A48"/>
    <mergeCell ref="A51:B51"/>
  </mergeCells>
  <phoneticPr fontId="1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J35"/>
  <sheetViews>
    <sheetView workbookViewId="0"/>
  </sheetViews>
  <sheetFormatPr defaultColWidth="12.5703125" defaultRowHeight="15" customHeight="1"/>
  <cols>
    <col min="1" max="1" width="4.42578125" customWidth="1"/>
    <col min="2" max="2" width="20.140625" customWidth="1"/>
    <col min="3" max="3" width="17.5703125" customWidth="1"/>
    <col min="4" max="4" width="14.85546875" customWidth="1"/>
    <col min="6" max="6" width="26" customWidth="1"/>
    <col min="7" max="7" width="17.7109375" customWidth="1"/>
    <col min="8" max="8" width="15.7109375" customWidth="1"/>
    <col min="9" max="9" width="17.7109375" customWidth="1"/>
    <col min="10" max="10" width="138.5703125" customWidth="1"/>
  </cols>
  <sheetData>
    <row r="2" spans="1:10" ht="13.5">
      <c r="A2" s="1" t="s">
        <v>113</v>
      </c>
      <c r="B2" s="1" t="s">
        <v>114</v>
      </c>
      <c r="C2" s="1" t="s">
        <v>115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122</v>
      </c>
    </row>
    <row r="3" spans="1:10" ht="13.5">
      <c r="A3" s="29">
        <v>1</v>
      </c>
      <c r="B3" s="29" t="s">
        <v>123</v>
      </c>
      <c r="C3" s="30" t="s">
        <v>124</v>
      </c>
      <c r="D3" s="31" t="s">
        <v>125</v>
      </c>
      <c r="E3" s="30" t="s">
        <v>126</v>
      </c>
      <c r="F3" s="30" t="s">
        <v>127</v>
      </c>
      <c r="G3" s="30"/>
      <c r="H3" s="30"/>
      <c r="I3" s="32"/>
      <c r="J3" s="33" t="s">
        <v>128</v>
      </c>
    </row>
    <row r="4" spans="1:10" ht="13.5">
      <c r="A4" s="29">
        <v>2</v>
      </c>
      <c r="B4" s="29" t="s">
        <v>129</v>
      </c>
      <c r="C4" s="30" t="s">
        <v>130</v>
      </c>
      <c r="D4" s="31" t="s">
        <v>131</v>
      </c>
      <c r="E4" s="30" t="s">
        <v>132</v>
      </c>
      <c r="F4" s="30" t="s">
        <v>133</v>
      </c>
      <c r="G4" s="30" t="s">
        <v>134</v>
      </c>
      <c r="H4" s="30" t="s">
        <v>135</v>
      </c>
      <c r="I4" s="32"/>
      <c r="J4" s="33" t="s">
        <v>136</v>
      </c>
    </row>
    <row r="5" spans="1:10" ht="13.5">
      <c r="A5" s="29">
        <v>3</v>
      </c>
      <c r="B5" s="29" t="s">
        <v>137</v>
      </c>
      <c r="C5" s="30" t="s">
        <v>138</v>
      </c>
      <c r="D5" s="31" t="s">
        <v>139</v>
      </c>
      <c r="E5" s="30" t="s">
        <v>140</v>
      </c>
      <c r="F5" s="34" t="s">
        <v>141</v>
      </c>
      <c r="G5" s="34" t="s">
        <v>142</v>
      </c>
      <c r="H5" s="30"/>
      <c r="I5" s="32"/>
      <c r="J5" s="33" t="s">
        <v>143</v>
      </c>
    </row>
    <row r="6" spans="1:10" ht="13.5">
      <c r="A6" s="29">
        <v>4</v>
      </c>
      <c r="B6" s="29" t="s">
        <v>144</v>
      </c>
      <c r="C6" s="34" t="s">
        <v>145</v>
      </c>
      <c r="D6" s="34" t="s">
        <v>146</v>
      </c>
      <c r="E6" s="30" t="s">
        <v>147</v>
      </c>
      <c r="F6" s="30" t="s">
        <v>148</v>
      </c>
      <c r="G6" s="30" t="s">
        <v>149</v>
      </c>
      <c r="H6" s="30"/>
      <c r="I6" s="32"/>
      <c r="J6" s="33" t="s">
        <v>150</v>
      </c>
    </row>
    <row r="7" spans="1:10" ht="13.5">
      <c r="A7" s="29">
        <v>5</v>
      </c>
      <c r="B7" s="29" t="s">
        <v>151</v>
      </c>
      <c r="C7" s="30" t="s">
        <v>152</v>
      </c>
      <c r="D7" s="31" t="s">
        <v>153</v>
      </c>
      <c r="E7" s="30" t="s">
        <v>140</v>
      </c>
      <c r="F7" s="30" t="s">
        <v>154</v>
      </c>
      <c r="G7" s="34" t="s">
        <v>142</v>
      </c>
      <c r="H7" s="30" t="s">
        <v>135</v>
      </c>
      <c r="I7" s="32"/>
      <c r="J7" s="35" t="s">
        <v>155</v>
      </c>
    </row>
    <row r="8" spans="1:10" ht="13.5">
      <c r="A8" s="29">
        <v>6</v>
      </c>
      <c r="B8" s="29" t="s">
        <v>156</v>
      </c>
      <c r="C8" s="30" t="s">
        <v>157</v>
      </c>
      <c r="D8" s="31" t="s">
        <v>158</v>
      </c>
      <c r="E8" s="30" t="s">
        <v>159</v>
      </c>
      <c r="F8" s="34" t="s">
        <v>160</v>
      </c>
      <c r="G8" s="34" t="s">
        <v>142</v>
      </c>
      <c r="H8" s="30" t="s">
        <v>161</v>
      </c>
      <c r="I8" s="32"/>
      <c r="J8" s="33" t="s">
        <v>162</v>
      </c>
    </row>
    <row r="9" spans="1:10" ht="12.75">
      <c r="A9" s="11"/>
      <c r="B9" s="11" t="s">
        <v>163</v>
      </c>
      <c r="C9" s="36" t="s">
        <v>164</v>
      </c>
      <c r="D9" s="37" t="s">
        <v>165</v>
      </c>
      <c r="E9" s="36"/>
      <c r="F9" s="36"/>
      <c r="G9" s="36"/>
      <c r="H9" s="36"/>
      <c r="I9" s="36"/>
      <c r="J9" s="36"/>
    </row>
    <row r="10" spans="1:10" ht="12.75">
      <c r="A10" s="11"/>
      <c r="B10" s="11" t="s">
        <v>166</v>
      </c>
      <c r="C10" s="36" t="s">
        <v>164</v>
      </c>
      <c r="D10" s="37" t="s">
        <v>167</v>
      </c>
      <c r="E10" s="36"/>
      <c r="F10" s="36"/>
      <c r="G10" s="36"/>
      <c r="H10" s="36"/>
      <c r="I10" s="36"/>
      <c r="J10" s="36"/>
    </row>
    <row r="11" spans="1:10" ht="12.75">
      <c r="A11" s="11"/>
      <c r="B11" s="11"/>
      <c r="C11" s="36"/>
      <c r="D11" s="36"/>
      <c r="E11" s="36"/>
      <c r="F11" s="36"/>
      <c r="G11" s="36"/>
      <c r="H11" s="36"/>
      <c r="I11" s="36"/>
      <c r="J11" s="36"/>
    </row>
    <row r="12" spans="1:10" ht="12.75">
      <c r="A12" s="11"/>
      <c r="B12" s="11"/>
      <c r="C12" s="36"/>
      <c r="D12" s="36"/>
      <c r="E12" s="36"/>
      <c r="F12" s="36"/>
      <c r="G12" s="36"/>
      <c r="H12" s="36"/>
      <c r="I12" s="36"/>
      <c r="J12" s="36"/>
    </row>
    <row r="13" spans="1:10" ht="12.75">
      <c r="A13" s="11"/>
      <c r="B13" s="11"/>
      <c r="C13" s="36"/>
      <c r="D13" s="36"/>
      <c r="E13" s="36"/>
      <c r="F13" s="36"/>
      <c r="G13" s="36"/>
      <c r="H13" s="36"/>
      <c r="I13" s="36"/>
      <c r="J13" s="36"/>
    </row>
    <row r="14" spans="1:10" ht="12.75">
      <c r="A14" s="11"/>
      <c r="B14" s="11"/>
      <c r="C14" s="36"/>
      <c r="D14" s="36"/>
      <c r="E14" s="36"/>
      <c r="F14" s="36"/>
      <c r="G14" s="36"/>
      <c r="H14" s="36"/>
      <c r="I14" s="36"/>
      <c r="J14" s="36"/>
    </row>
    <row r="15" spans="1:10" ht="12.75">
      <c r="A15" s="11"/>
      <c r="B15" s="11"/>
      <c r="C15" s="36"/>
      <c r="D15" s="36"/>
      <c r="E15" s="36"/>
      <c r="F15" s="36"/>
      <c r="G15" s="36"/>
      <c r="H15" s="36"/>
      <c r="I15" s="36"/>
      <c r="J15" s="36"/>
    </row>
    <row r="16" spans="1:10" ht="12.75">
      <c r="A16" s="11"/>
      <c r="B16" s="11"/>
      <c r="C16" s="36"/>
      <c r="D16" s="36"/>
      <c r="E16" s="36"/>
      <c r="F16" s="36"/>
      <c r="G16" s="36"/>
      <c r="H16" s="36"/>
      <c r="I16" s="36"/>
      <c r="J16" s="36"/>
    </row>
    <row r="17" spans="1:10" ht="12.75">
      <c r="A17" s="11"/>
      <c r="B17" s="11"/>
      <c r="C17" s="36"/>
      <c r="D17" s="36"/>
      <c r="E17" s="36"/>
      <c r="F17" s="36"/>
      <c r="G17" s="36"/>
      <c r="H17" s="36"/>
      <c r="I17" s="36"/>
      <c r="J17" s="36"/>
    </row>
    <row r="18" spans="1:10" ht="12.75">
      <c r="A18" s="11"/>
      <c r="B18" s="11"/>
      <c r="C18" s="36"/>
      <c r="D18" s="36"/>
      <c r="E18" s="36"/>
      <c r="F18" s="36"/>
      <c r="G18" s="36"/>
      <c r="H18" s="36"/>
      <c r="I18" s="36"/>
      <c r="J18" s="36"/>
    </row>
    <row r="19" spans="1:10" ht="12.75">
      <c r="A19" s="11"/>
      <c r="B19" s="11"/>
      <c r="C19" s="36"/>
      <c r="D19" s="36"/>
      <c r="E19" s="36"/>
      <c r="F19" s="36"/>
      <c r="G19" s="36"/>
      <c r="H19" s="36"/>
      <c r="I19" s="36"/>
      <c r="J19" s="36"/>
    </row>
    <row r="20" spans="1:10" ht="12.75">
      <c r="A20" s="11"/>
      <c r="B20" s="11"/>
      <c r="C20" s="36"/>
      <c r="D20" s="36"/>
      <c r="E20" s="36"/>
      <c r="F20" s="36"/>
      <c r="G20" s="36"/>
      <c r="H20" s="36"/>
      <c r="I20" s="36"/>
      <c r="J20" s="36"/>
    </row>
    <row r="21" spans="1:10" ht="12.75">
      <c r="A21" s="11"/>
      <c r="B21" s="11"/>
      <c r="C21" s="36"/>
      <c r="D21" s="36"/>
      <c r="E21" s="36"/>
      <c r="F21" s="36"/>
      <c r="G21" s="36"/>
      <c r="H21" s="36"/>
      <c r="I21" s="36"/>
      <c r="J21" s="36"/>
    </row>
    <row r="22" spans="1:10" ht="12.75">
      <c r="A22" s="11"/>
      <c r="B22" s="11"/>
      <c r="C22" s="36"/>
      <c r="D22" s="36"/>
      <c r="E22" s="36"/>
      <c r="F22" s="36"/>
      <c r="G22" s="36"/>
      <c r="H22" s="36"/>
      <c r="I22" s="36"/>
      <c r="J22" s="36"/>
    </row>
    <row r="23" spans="1:10" ht="12.75">
      <c r="A23" s="11"/>
      <c r="B23" s="11"/>
      <c r="C23" s="36"/>
      <c r="D23" s="36"/>
      <c r="E23" s="36"/>
      <c r="F23" s="36"/>
      <c r="G23" s="36"/>
      <c r="H23" s="36"/>
      <c r="I23" s="36"/>
      <c r="J23" s="36"/>
    </row>
    <row r="24" spans="1:10" ht="12.75">
      <c r="A24" s="11"/>
      <c r="B24" s="11"/>
      <c r="C24" s="36"/>
      <c r="D24" s="36"/>
      <c r="E24" s="36"/>
      <c r="F24" s="36"/>
      <c r="G24" s="36"/>
      <c r="H24" s="36"/>
      <c r="I24" s="36"/>
      <c r="J24" s="36"/>
    </row>
    <row r="25" spans="1:10" ht="12.75">
      <c r="A25" s="11"/>
      <c r="B25" s="11"/>
      <c r="C25" s="36"/>
      <c r="D25" s="36"/>
      <c r="E25" s="36"/>
      <c r="F25" s="36"/>
      <c r="G25" s="36"/>
      <c r="H25" s="36"/>
      <c r="I25" s="36"/>
      <c r="J25" s="36"/>
    </row>
    <row r="26" spans="1:10" ht="12.75">
      <c r="A26" s="11"/>
      <c r="B26" s="11"/>
      <c r="C26" s="36"/>
      <c r="D26" s="36"/>
      <c r="E26" s="36"/>
      <c r="F26" s="36"/>
      <c r="G26" s="36"/>
      <c r="H26" s="36"/>
      <c r="I26" s="36"/>
      <c r="J26" s="36"/>
    </row>
    <row r="27" spans="1:10" ht="12.75">
      <c r="A27" s="11"/>
      <c r="B27" s="11"/>
      <c r="C27" s="36"/>
      <c r="D27" s="36"/>
      <c r="E27" s="36"/>
      <c r="F27" s="36"/>
      <c r="G27" s="36"/>
      <c r="H27" s="36"/>
      <c r="I27" s="36"/>
      <c r="J27" s="36"/>
    </row>
    <row r="28" spans="1:10" ht="12.75">
      <c r="A28" s="11"/>
      <c r="B28" s="11"/>
      <c r="C28" s="36"/>
      <c r="D28" s="36"/>
      <c r="E28" s="36"/>
      <c r="F28" s="36"/>
      <c r="G28" s="36"/>
      <c r="H28" s="36"/>
      <c r="I28" s="36"/>
      <c r="J28" s="36"/>
    </row>
    <row r="29" spans="1:10" ht="12.75">
      <c r="A29" s="11"/>
      <c r="B29" s="11"/>
      <c r="C29" s="36"/>
      <c r="D29" s="36"/>
      <c r="E29" s="36"/>
      <c r="F29" s="36"/>
      <c r="G29" s="36"/>
      <c r="H29" s="36"/>
      <c r="I29" s="36"/>
      <c r="J29" s="36"/>
    </row>
    <row r="30" spans="1:10" ht="12.75">
      <c r="A30" s="11"/>
      <c r="B30" s="11"/>
      <c r="C30" s="36"/>
      <c r="D30" s="36"/>
      <c r="E30" s="36"/>
      <c r="F30" s="36"/>
      <c r="G30" s="36"/>
      <c r="H30" s="36"/>
      <c r="I30" s="36"/>
      <c r="J30" s="36"/>
    </row>
    <row r="31" spans="1:10" ht="12.75">
      <c r="A31" s="11"/>
      <c r="B31" s="11"/>
      <c r="C31" s="36"/>
      <c r="D31" s="36"/>
      <c r="E31" s="36"/>
      <c r="F31" s="36"/>
      <c r="G31" s="36"/>
      <c r="H31" s="36"/>
      <c r="I31" s="36"/>
      <c r="J31" s="36"/>
    </row>
    <row r="32" spans="1:10" ht="12.75">
      <c r="A32" s="11"/>
      <c r="B32" s="11"/>
      <c r="C32" s="36"/>
      <c r="D32" s="36"/>
      <c r="E32" s="36"/>
      <c r="F32" s="36"/>
      <c r="G32" s="36"/>
      <c r="H32" s="36"/>
      <c r="I32" s="36"/>
      <c r="J32" s="36"/>
    </row>
    <row r="33" spans="1:10" ht="12.75">
      <c r="A33" s="11"/>
      <c r="B33" s="11"/>
      <c r="C33" s="36"/>
      <c r="D33" s="36"/>
      <c r="E33" s="36"/>
      <c r="F33" s="36"/>
      <c r="G33" s="36"/>
      <c r="H33" s="36"/>
      <c r="I33" s="36"/>
      <c r="J33" s="36"/>
    </row>
    <row r="34" spans="1:10" ht="12.75">
      <c r="A34" s="11"/>
      <c r="B34" s="11"/>
      <c r="C34" s="36"/>
      <c r="D34" s="36"/>
      <c r="E34" s="36"/>
      <c r="F34" s="36"/>
      <c r="G34" s="36"/>
      <c r="H34" s="36"/>
      <c r="I34" s="36"/>
      <c r="J34" s="36"/>
    </row>
    <row r="35" spans="1:10" ht="11.25" customHeight="1">
      <c r="A35" s="11"/>
      <c r="B35" s="11"/>
      <c r="C35" s="36"/>
      <c r="D35" s="36"/>
      <c r="E35" s="36"/>
      <c r="F35" s="36"/>
      <c r="G35" s="36"/>
      <c r="H35" s="36"/>
      <c r="I35" s="36"/>
      <c r="J35" s="36"/>
    </row>
  </sheetData>
  <phoneticPr fontId="19" type="noConversion"/>
  <hyperlinks>
    <hyperlink ref="J3" r:id="rId1" xr:uid="{00000000-0004-0000-0100-000000000000}"/>
    <hyperlink ref="J4" r:id="rId2" xr:uid="{00000000-0004-0000-0100-000001000000}"/>
    <hyperlink ref="J5" r:id="rId3" xr:uid="{00000000-0004-0000-0100-000002000000}"/>
    <hyperlink ref="J6" r:id="rId4" xr:uid="{00000000-0004-0000-0100-000003000000}"/>
    <hyperlink ref="J7" r:id="rId5" xr:uid="{00000000-0004-0000-0100-000004000000}"/>
    <hyperlink ref="J8" r:id="rId6" xr:uid="{00000000-0004-0000-0100-000005000000}"/>
  </hyperlinks>
  <pageMargins left="0.7" right="0.7" top="0.75" bottom="0.75" header="0.3" footer="0.3"/>
  <pageSetup paperSize="9" orientation="portrait" horizontalDpi="4294967295" verticalDpi="4294967295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체크리스트</vt:lpstr>
      <vt:lpstr>신혼집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tncjf133@clunix.ad</cp:lastModifiedBy>
  <dcterms:modified xsi:type="dcterms:W3CDTF">2025-10-22T08:22:21Z</dcterms:modified>
</cp:coreProperties>
</file>