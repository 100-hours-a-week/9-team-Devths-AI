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60\Desktop\"/>
    </mc:Choice>
  </mc:AlternateContent>
  <xr:revisionPtr revIDLastSave="0" documentId="8_{C346126A-7930-4C1F-9F7F-B0BEA5C89400}" xr6:coauthVersionLast="47" xr6:coauthVersionMax="47" xr10:uidLastSave="{00000000-0000-0000-0000-000000000000}"/>
  <bookViews>
    <workbookView xWindow="28680" yWindow="-120" windowWidth="29040" windowHeight="15720" xr2:uid="{031323E4-FB1C-4633-96A5-5880ADF833AC}"/>
  </bookViews>
  <sheets>
    <sheet name="예산표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7" i="2" l="1"/>
  <c r="H77" i="2"/>
  <c r="G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77" i="2" l="1"/>
  <c r="J77" i="2"/>
</calcChain>
</file>

<file path=xl/sharedStrings.xml><?xml version="1.0" encoding="utf-8"?>
<sst xmlns="http://schemas.openxmlformats.org/spreadsheetml/2006/main" count="94" uniqueCount="92">
  <si>
    <t>분류</t>
  </si>
  <si>
    <t>구분</t>
  </si>
  <si>
    <t>계약업체</t>
  </si>
  <si>
    <t>견적</t>
  </si>
  <si>
    <t>계약금</t>
  </si>
  <si>
    <t>할인금액</t>
  </si>
  <si>
    <t>잔금</t>
  </si>
  <si>
    <t>최종금액</t>
  </si>
  <si>
    <t>결제수단</t>
  </si>
  <si>
    <t>결제자</t>
  </si>
  <si>
    <t>비고</t>
  </si>
  <si>
    <t>웨딩홀 대관료</t>
  </si>
  <si>
    <t>식대</t>
  </si>
  <si>
    <t>본식 스냅</t>
  </si>
  <si>
    <t>아이폰 스냅</t>
  </si>
  <si>
    <t>본식 DVD</t>
  </si>
  <si>
    <t>신랑구두</t>
  </si>
  <si>
    <t>사회자</t>
  </si>
  <si>
    <t>식전영상</t>
  </si>
  <si>
    <t>헬퍼이모님</t>
  </si>
  <si>
    <t>메이크업</t>
  </si>
  <si>
    <t>본식 드레스</t>
  </si>
  <si>
    <t>원본 구매</t>
  </si>
  <si>
    <t>드레스투어</t>
  </si>
  <si>
    <t>액자</t>
  </si>
  <si>
    <t>2부 드레스</t>
  </si>
  <si>
    <t>신랑 예복</t>
  </si>
  <si>
    <t>신혼여행</t>
  </si>
  <si>
    <t>비행기</t>
  </si>
  <si>
    <t>숙소</t>
  </si>
  <si>
    <t>스냅</t>
  </si>
  <si>
    <t>경비</t>
  </si>
  <si>
    <t>의상</t>
  </si>
  <si>
    <t>기타</t>
  </si>
  <si>
    <t>혼주한복</t>
  </si>
  <si>
    <t>혼주 예복</t>
  </si>
  <si>
    <t>형제자매 꾸밈비</t>
  </si>
  <si>
    <t>종이 청첩장</t>
  </si>
  <si>
    <t>모바일 청첩장</t>
  </si>
  <si>
    <t>답례품</t>
  </si>
  <si>
    <t>웨딩밴드</t>
  </si>
  <si>
    <t>상견례</t>
  </si>
  <si>
    <t>웨딩네일</t>
  </si>
  <si>
    <t>버스대절</t>
  </si>
  <si>
    <t>청첩장 모임</t>
  </si>
  <si>
    <t>가전</t>
  </si>
  <si>
    <t>에어컨</t>
  </si>
  <si>
    <t>세탁기/건조기</t>
  </si>
  <si>
    <t>정수기</t>
  </si>
  <si>
    <t>밥솥</t>
  </si>
  <si>
    <t>인테리어</t>
  </si>
  <si>
    <t>주방</t>
  </si>
  <si>
    <t>화장실</t>
  </si>
  <si>
    <t>이불</t>
  </si>
  <si>
    <t>욕실용품</t>
  </si>
  <si>
    <t>그릇/식기류</t>
  </si>
  <si>
    <t>가구</t>
  </si>
  <si>
    <t>침대</t>
  </si>
  <si>
    <t>수납장</t>
  </si>
  <si>
    <t>화장대</t>
  </si>
  <si>
    <t>식탁</t>
  </si>
  <si>
    <t>찐 최종 금액</t>
    <phoneticPr fontId="1" type="noConversion"/>
  </si>
  <si>
    <t>결혼 준비 리스트</t>
    <phoneticPr fontId="1" type="noConversion"/>
  </si>
  <si>
    <r>
      <rPr>
        <sz val="13"/>
        <color theme="1"/>
        <rFont val="맑은 고딕"/>
        <family val="3"/>
        <charset val="129"/>
      </rPr>
      <t>웨딩홀</t>
    </r>
    <r>
      <rPr>
        <sz val="13"/>
        <color theme="1"/>
        <rFont val="Arial"/>
        <family val="2"/>
      </rPr>
      <t xml:space="preserve"> </t>
    </r>
    <r>
      <rPr>
        <sz val="13"/>
        <color theme="1"/>
        <rFont val="맑은 고딕"/>
        <family val="3"/>
        <charset val="129"/>
      </rPr>
      <t>부대비용</t>
    </r>
    <phoneticPr fontId="1" type="noConversion"/>
  </si>
  <si>
    <t>도배</t>
    <phoneticPr fontId="1" type="noConversion"/>
  </si>
  <si>
    <t>소품</t>
    <phoneticPr fontId="1" type="noConversion"/>
  </si>
  <si>
    <t>TV</t>
    <phoneticPr fontId="1" type="noConversion"/>
  </si>
  <si>
    <r>
      <rPr>
        <sz val="13"/>
        <color theme="1"/>
        <rFont val="맑은 고딕"/>
        <family val="3"/>
        <charset val="129"/>
      </rPr>
      <t>제주</t>
    </r>
    <r>
      <rPr>
        <sz val="13"/>
        <color theme="1"/>
        <rFont val="Arial"/>
        <family val="2"/>
      </rPr>
      <t xml:space="preserve"> </t>
    </r>
    <r>
      <rPr>
        <sz val="13"/>
        <color theme="1"/>
        <rFont val="맑은 고딕"/>
        <family val="3"/>
        <charset val="129"/>
      </rPr>
      <t>스냅</t>
    </r>
    <phoneticPr fontId="1" type="noConversion"/>
  </si>
  <si>
    <r>
      <rPr>
        <sz val="13"/>
        <color theme="1"/>
        <rFont val="맑은 고딕"/>
        <family val="3"/>
        <charset val="129"/>
      </rPr>
      <t>제주</t>
    </r>
    <r>
      <rPr>
        <sz val="13"/>
        <color theme="1"/>
        <rFont val="Arial"/>
        <family val="2"/>
      </rPr>
      <t xml:space="preserve">  </t>
    </r>
    <r>
      <rPr>
        <sz val="13"/>
        <color theme="1"/>
        <rFont val="맑은 고딕"/>
        <family val="3"/>
        <charset val="129"/>
      </rPr>
      <t>드메</t>
    </r>
    <phoneticPr fontId="1" type="noConversion"/>
  </si>
  <si>
    <t>부케</t>
    <phoneticPr fontId="1" type="noConversion"/>
  </si>
  <si>
    <t>총 합계 금액</t>
    <phoneticPr fontId="1" type="noConversion"/>
  </si>
  <si>
    <t>가족 메이크업</t>
    <phoneticPr fontId="1" type="noConversion"/>
  </si>
  <si>
    <t>웨딩슈즈</t>
    <phoneticPr fontId="1" type="noConversion"/>
  </si>
  <si>
    <r>
      <t>스냅</t>
    </r>
    <r>
      <rPr>
        <sz val="13"/>
        <color theme="1"/>
        <rFont val="돋움"/>
        <family val="2"/>
        <charset val="129"/>
      </rPr>
      <t xml:space="preserve"> 추가 비용</t>
    </r>
    <phoneticPr fontId="1" type="noConversion"/>
  </si>
  <si>
    <t>포토테이블</t>
    <phoneticPr fontId="1" type="noConversion"/>
  </si>
  <si>
    <r>
      <rPr>
        <sz val="13"/>
        <color theme="1"/>
        <rFont val="맑은 고딕"/>
        <family val="3"/>
        <charset val="129"/>
      </rPr>
      <t>메이크업</t>
    </r>
    <r>
      <rPr>
        <sz val="13"/>
        <color theme="1"/>
        <rFont val="Arial"/>
        <family val="2"/>
      </rPr>
      <t xml:space="preserve"> </t>
    </r>
    <r>
      <rPr>
        <sz val="13"/>
        <color theme="1"/>
        <rFont val="맑은 고딕"/>
        <family val="3"/>
        <charset val="129"/>
      </rPr>
      <t>얼리</t>
    </r>
    <phoneticPr fontId="1" type="noConversion"/>
  </si>
  <si>
    <r>
      <rPr>
        <sz val="13"/>
        <color theme="1"/>
        <rFont val="맑은 고딕"/>
        <family val="3"/>
        <charset val="129"/>
      </rPr>
      <t>드레스</t>
    </r>
    <r>
      <rPr>
        <sz val="13"/>
        <color theme="1"/>
        <rFont val="Arial"/>
        <family val="2"/>
      </rPr>
      <t xml:space="preserve"> </t>
    </r>
    <r>
      <rPr>
        <sz val="13"/>
        <color theme="1"/>
        <rFont val="맑은 고딕"/>
        <family val="3"/>
        <charset val="129"/>
      </rPr>
      <t>추가비용</t>
    </r>
    <phoneticPr fontId="1" type="noConversion"/>
  </si>
  <si>
    <r>
      <rPr>
        <sz val="13"/>
        <color theme="1"/>
        <rFont val="맑은 고딕"/>
        <family val="3"/>
        <charset val="129"/>
      </rPr>
      <t>냉장고</t>
    </r>
    <r>
      <rPr>
        <sz val="13"/>
        <color theme="1"/>
        <rFont val="Arial"/>
        <family val="2"/>
      </rPr>
      <t>/</t>
    </r>
    <r>
      <rPr>
        <sz val="13"/>
        <color theme="1"/>
        <rFont val="맑은 고딕"/>
        <family val="3"/>
        <charset val="129"/>
      </rPr>
      <t>김치냉장</t>
    </r>
    <phoneticPr fontId="1" type="noConversion"/>
  </si>
  <si>
    <t>현금</t>
    <phoneticPr fontId="1" type="noConversion"/>
  </si>
  <si>
    <t>스드메</t>
    <phoneticPr fontId="1" type="noConversion"/>
  </si>
  <si>
    <t>본식</t>
    <phoneticPr fontId="1" type="noConversion"/>
  </si>
  <si>
    <r>
      <t>다렉 포인</t>
    </r>
    <r>
      <rPr>
        <b/>
        <sz val="14"/>
        <color theme="1"/>
        <rFont val="a타이틀고딕2"/>
        <family val="1"/>
        <charset val="129"/>
      </rPr>
      <t>트</t>
    </r>
    <phoneticPr fontId="1" type="noConversion"/>
  </si>
  <si>
    <t>신부</t>
  </si>
  <si>
    <t>예약결제일</t>
    <phoneticPr fontId="1" type="noConversion"/>
  </si>
  <si>
    <r>
      <rPr>
        <sz val="13"/>
        <color theme="1"/>
        <rFont val="맑은 고딕"/>
        <family val="3"/>
        <charset val="129"/>
      </rPr>
      <t>피부관리</t>
    </r>
    <r>
      <rPr>
        <sz val="13"/>
        <color theme="1"/>
        <rFont val="Arial"/>
        <family val="2"/>
      </rPr>
      <t xml:space="preserve">, </t>
    </r>
    <r>
      <rPr>
        <sz val="13"/>
        <color theme="1"/>
        <rFont val="돋움"/>
        <family val="2"/>
        <charset val="129"/>
      </rPr>
      <t>시술</t>
    </r>
    <phoneticPr fontId="1" type="noConversion"/>
  </si>
  <si>
    <t>소파</t>
    <phoneticPr fontId="1" type="noConversion"/>
  </si>
  <si>
    <t>신랑</t>
  </si>
  <si>
    <t>현금</t>
  </si>
  <si>
    <t>♥은비의 결혼준비 예산 ♥</t>
    <phoneticPr fontId="1" type="noConversion"/>
  </si>
  <si>
    <t>로봇청소기</t>
    <phoneticPr fontId="1" type="noConversion"/>
  </si>
  <si>
    <t>청소기</t>
    <phoneticPr fontId="1" type="noConversion"/>
  </si>
  <si>
    <t>전기오븐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</si>
</sst>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Arial"/>
      <family val="2"/>
    </font>
    <font>
      <sz val="10"/>
      <color theme="1"/>
      <name val="Arial"/>
      <family val="2"/>
    </font>
    <font>
      <b/>
      <sz val="19"/>
      <color theme="1"/>
      <name val="맑은 고딕"/>
      <family val="3"/>
      <charset val="129"/>
      <scheme val="major"/>
    </font>
    <font>
      <b/>
      <sz val="17"/>
      <color theme="1"/>
      <name val="맑은 고딕"/>
      <family val="3"/>
      <charset val="129"/>
      <scheme val="major"/>
    </font>
    <font>
      <sz val="13"/>
      <color theme="1"/>
      <name val="맑은 고딕"/>
      <family val="3"/>
      <charset val="129"/>
    </font>
    <font>
      <sz val="13"/>
      <color theme="1"/>
      <name val="Arial"/>
      <family val="3"/>
      <charset val="129"/>
    </font>
    <font>
      <sz val="13"/>
      <color theme="1"/>
      <name val="Arial"/>
      <family val="3"/>
    </font>
    <font>
      <sz val="13"/>
      <color theme="1"/>
      <name val="돋움"/>
      <family val="2"/>
      <charset val="129"/>
    </font>
    <font>
      <sz val="16"/>
      <color theme="1"/>
      <name val="a타이틀고딕2"/>
      <family val="1"/>
      <charset val="129"/>
    </font>
    <font>
      <sz val="13"/>
      <color rgb="FFFFC000"/>
      <name val="Arial"/>
      <family val="2"/>
    </font>
    <font>
      <sz val="14"/>
      <color theme="1"/>
      <name val="a타이틀고딕2"/>
      <family val="1"/>
      <charset val="129"/>
    </font>
    <font>
      <b/>
      <sz val="14"/>
      <color theme="1"/>
      <name val="a타이틀고딕2"/>
      <family val="1"/>
      <charset val="129"/>
    </font>
    <font>
      <sz val="14"/>
      <color theme="1"/>
      <name val="Arial"/>
      <family val="2"/>
    </font>
    <font>
      <sz val="36"/>
      <color theme="1"/>
      <name val="a타이틀고딕3"/>
      <family val="1"/>
      <charset val="129"/>
    </font>
    <font>
      <sz val="28"/>
      <color theme="1"/>
      <name val="a타이틀고딕3"/>
      <family val="1"/>
      <charset val="129"/>
    </font>
    <font>
      <sz val="14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2DCD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AD6D6"/>
        <bgColor indexed="64"/>
      </patternFill>
    </fill>
    <fill>
      <patternFill patternType="solid">
        <fgColor rgb="FFE8EDFE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3" fontId="2" fillId="3" borderId="1" xfId="0" applyNumberFormat="1" applyFont="1" applyFill="1" applyBorder="1" applyAlignment="1">
      <alignment horizontal="center" wrapText="1"/>
    </xf>
    <xf numFmtId="3" fontId="2" fillId="3" borderId="6" xfId="0" applyNumberFormat="1" applyFont="1" applyFill="1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2" fillId="2" borderId="7" xfId="0" applyNumberFormat="1" applyFont="1" applyFill="1" applyBorder="1" applyAlignment="1">
      <alignment horizontal="center" wrapText="1"/>
    </xf>
    <xf numFmtId="0" fontId="12" fillId="3" borderId="8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3" fontId="2" fillId="0" borderId="6" xfId="0" applyNumberFormat="1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3" borderId="16" xfId="0" applyFont="1" applyFill="1" applyBorder="1" applyAlignment="1">
      <alignment horizontal="center" wrapText="1"/>
    </xf>
    <xf numFmtId="0" fontId="2" fillId="3" borderId="17" xfId="0" applyFont="1" applyFill="1" applyBorder="1" applyAlignment="1">
      <alignment horizontal="center" wrapText="1"/>
    </xf>
    <xf numFmtId="0" fontId="7" fillId="3" borderId="17" xfId="0" applyFont="1" applyFill="1" applyBorder="1" applyAlignment="1">
      <alignment horizontal="center" wrapText="1"/>
    </xf>
    <xf numFmtId="0" fontId="6" fillId="3" borderId="17" xfId="0" applyFont="1" applyFill="1" applyBorder="1" applyAlignment="1">
      <alignment horizontal="center" wrapText="1"/>
    </xf>
    <xf numFmtId="0" fontId="7" fillId="0" borderId="17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9" fillId="3" borderId="17" xfId="0" applyFont="1" applyFill="1" applyBorder="1" applyAlignment="1">
      <alignment horizontal="center" wrapText="1"/>
    </xf>
    <xf numFmtId="0" fontId="8" fillId="3" borderId="17" xfId="0" applyFont="1" applyFill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5" fillId="6" borderId="18" xfId="0" applyFont="1" applyFill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3" fontId="2" fillId="0" borderId="19" xfId="0" applyNumberFormat="1" applyFont="1" applyBorder="1" applyAlignment="1">
      <alignment horizontal="center" wrapText="1"/>
    </xf>
    <xf numFmtId="3" fontId="2" fillId="3" borderId="19" xfId="0" applyNumberFormat="1" applyFont="1" applyFill="1" applyBorder="1" applyAlignment="1">
      <alignment horizontal="center" wrapText="1"/>
    </xf>
    <xf numFmtId="0" fontId="5" fillId="6" borderId="20" xfId="0" applyFont="1" applyFill="1" applyBorder="1" applyAlignment="1">
      <alignment horizontal="center" wrapText="1"/>
    </xf>
    <xf numFmtId="0" fontId="5" fillId="6" borderId="21" xfId="0" applyFont="1" applyFill="1" applyBorder="1" applyAlignment="1">
      <alignment horizontal="center" wrapText="1"/>
    </xf>
    <xf numFmtId="0" fontId="5" fillId="6" borderId="22" xfId="0" applyFont="1" applyFill="1" applyBorder="1" applyAlignment="1">
      <alignment horizontal="center" wrapText="1"/>
    </xf>
    <xf numFmtId="0" fontId="5" fillId="6" borderId="23" xfId="0" applyFont="1" applyFill="1" applyBorder="1" applyAlignment="1">
      <alignment horizontal="center" wrapText="1"/>
    </xf>
    <xf numFmtId="0" fontId="5" fillId="6" borderId="24" xfId="0" applyFont="1" applyFill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3" borderId="26" xfId="0" applyFont="1" applyFill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14" fillId="0" borderId="6" xfId="0" applyFont="1" applyBorder="1" applyAlignment="1">
      <alignment horizontal="center" vertical="center" wrapText="1"/>
    </xf>
    <xf numFmtId="3" fontId="2" fillId="2" borderId="21" xfId="0" applyNumberFormat="1" applyFont="1" applyFill="1" applyBorder="1" applyAlignment="1">
      <alignment horizontal="center" wrapText="1"/>
    </xf>
    <xf numFmtId="3" fontId="2" fillId="2" borderId="22" xfId="0" applyNumberFormat="1" applyFont="1" applyFill="1" applyBorder="1" applyAlignment="1">
      <alignment horizontal="center" wrapText="1"/>
    </xf>
    <xf numFmtId="0" fontId="3" fillId="2" borderId="23" xfId="0" applyFont="1" applyFill="1" applyBorder="1" applyAlignment="1">
      <alignment wrapText="1"/>
    </xf>
    <xf numFmtId="0" fontId="3" fillId="2" borderId="21" xfId="0" applyFont="1" applyFill="1" applyBorder="1" applyAlignment="1">
      <alignment wrapText="1"/>
    </xf>
    <xf numFmtId="0" fontId="3" fillId="2" borderId="24" xfId="0" applyFont="1" applyFill="1" applyBorder="1" applyAlignment="1">
      <alignment wrapText="1"/>
    </xf>
    <xf numFmtId="0" fontId="17" fillId="0" borderId="1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wrapText="1"/>
    </xf>
    <xf numFmtId="0" fontId="10" fillId="2" borderId="28" xfId="0" applyFont="1" applyFill="1" applyBorder="1" applyAlignment="1">
      <alignment horizontal="center" wrapText="1"/>
    </xf>
    <xf numFmtId="0" fontId="10" fillId="2" borderId="23" xfId="0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8EDFE"/>
      <color rgb="FFDEE6FE"/>
      <color rgb="FFD2DCFE"/>
      <color rgb="FFCADEFE"/>
      <color rgb="FFFAD6D6"/>
      <color rgb="FFF7C1C1"/>
      <color rgb="FFFFFFCC"/>
      <color rgb="FFFFFF99"/>
      <color rgb="FFF7FFB9"/>
      <color rgb="FFFDF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41DB-1C82-4A78-B30D-D0718BA083F7}">
  <dimension ref="C3:N77"/>
  <sheetViews>
    <sheetView tabSelected="1" zoomScaleNormal="100" workbookViewId="0">
      <selection activeCell="H19" sqref="H19"/>
    </sheetView>
  </sheetViews>
  <sheetFormatPr defaultRowHeight="16.5"/>
  <cols>
    <col min="3" max="3" width="13.125" customWidth="1"/>
    <col min="4" max="4" width="16.875" customWidth="1"/>
    <col min="5" max="5" width="17.125" customWidth="1"/>
    <col min="6" max="6" width="15.25" customWidth="1"/>
    <col min="7" max="7" width="14.875" customWidth="1"/>
    <col min="8" max="8" width="14.25" customWidth="1"/>
    <col min="9" max="9" width="16.625" customWidth="1"/>
    <col min="10" max="10" width="18.25" customWidth="1"/>
    <col min="11" max="11" width="13.25" customWidth="1"/>
    <col min="12" max="12" width="13.75" customWidth="1"/>
    <col min="13" max="13" width="15.75" customWidth="1"/>
    <col min="14" max="14" width="38" customWidth="1"/>
  </cols>
  <sheetData>
    <row r="3" spans="3:14">
      <c r="C3" s="53" t="s">
        <v>88</v>
      </c>
      <c r="D3" s="54"/>
      <c r="E3" s="54"/>
      <c r="F3" s="54"/>
      <c r="G3" s="54"/>
    </row>
    <row r="4" spans="3:14">
      <c r="C4" s="54"/>
      <c r="D4" s="54"/>
      <c r="E4" s="54"/>
      <c r="F4" s="54"/>
      <c r="G4" s="54"/>
    </row>
    <row r="5" spans="3:14" ht="22.5" customHeight="1" thickBot="1">
      <c r="C5" s="54"/>
      <c r="D5" s="54"/>
      <c r="E5" s="54"/>
      <c r="F5" s="54"/>
      <c r="G5" s="54"/>
    </row>
    <row r="6" spans="3:14" ht="32.25" customHeight="1">
      <c r="C6" s="54"/>
      <c r="D6" s="54"/>
      <c r="E6" s="54"/>
      <c r="F6" s="54"/>
      <c r="G6" s="54"/>
      <c r="I6" s="6" t="s">
        <v>81</v>
      </c>
      <c r="J6" s="3"/>
    </row>
    <row r="7" spans="3:14" ht="30.75" customHeight="1" thickBot="1">
      <c r="C7" s="54"/>
      <c r="D7" s="54"/>
      <c r="E7" s="54"/>
      <c r="F7" s="54"/>
      <c r="G7" s="54"/>
      <c r="I7" s="7" t="s">
        <v>61</v>
      </c>
      <c r="J7" s="4"/>
    </row>
    <row r="9" spans="3:14" ht="17.25" thickBot="1"/>
    <row r="10" spans="3:14">
      <c r="C10" s="55" t="s">
        <v>62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7"/>
    </row>
    <row r="11" spans="3:14" ht="17.25" thickBot="1">
      <c r="C11" s="58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60"/>
    </row>
    <row r="12" spans="3:14" ht="28.5" customHeight="1" thickBot="1">
      <c r="C12" s="26" t="s">
        <v>0</v>
      </c>
      <c r="D12" s="30" t="s">
        <v>1</v>
      </c>
      <c r="E12" s="31" t="s">
        <v>2</v>
      </c>
      <c r="F12" s="31" t="s">
        <v>3</v>
      </c>
      <c r="G12" s="31" t="s">
        <v>4</v>
      </c>
      <c r="H12" s="31" t="s">
        <v>5</v>
      </c>
      <c r="I12" s="32" t="s">
        <v>6</v>
      </c>
      <c r="J12" s="8" t="s">
        <v>7</v>
      </c>
      <c r="K12" s="33" t="s">
        <v>8</v>
      </c>
      <c r="L12" s="31" t="s">
        <v>9</v>
      </c>
      <c r="M12" s="31" t="s">
        <v>83</v>
      </c>
      <c r="N12" s="34" t="s">
        <v>10</v>
      </c>
    </row>
    <row r="13" spans="3:14" ht="20.25" customHeight="1" thickBot="1">
      <c r="C13" s="61" t="s">
        <v>80</v>
      </c>
      <c r="D13" s="16" t="s">
        <v>11</v>
      </c>
      <c r="E13" s="35"/>
      <c r="F13" s="28">
        <v>3600000</v>
      </c>
      <c r="G13" s="28">
        <v>700000</v>
      </c>
      <c r="H13" s="28"/>
      <c r="I13" s="28">
        <v>3600000</v>
      </c>
      <c r="J13" s="29">
        <f>F13-H13</f>
        <v>3600000</v>
      </c>
      <c r="K13" s="44" t="s">
        <v>78</v>
      </c>
      <c r="L13" s="27" t="s">
        <v>82</v>
      </c>
      <c r="M13" s="27"/>
      <c r="N13" s="27"/>
    </row>
    <row r="14" spans="3:14" ht="20.25" customHeight="1" thickBot="1">
      <c r="C14" s="62"/>
      <c r="D14" s="17" t="s">
        <v>12</v>
      </c>
      <c r="E14" s="15"/>
      <c r="F14" s="11"/>
      <c r="G14" s="11"/>
      <c r="H14" s="11"/>
      <c r="I14" s="10">
        <f t="shared" ref="I14:I76" si="0">F14-G14-H14</f>
        <v>0</v>
      </c>
      <c r="J14" s="1">
        <f t="shared" ref="J14:J76" si="1">F14-H14</f>
        <v>0</v>
      </c>
      <c r="K14" s="12"/>
      <c r="L14" s="66"/>
      <c r="M14" s="9"/>
      <c r="N14" s="11"/>
    </row>
    <row r="15" spans="3:14" ht="20.25" customHeight="1" thickBot="1">
      <c r="C15" s="62"/>
      <c r="D15" s="18" t="s">
        <v>63</v>
      </c>
      <c r="E15" s="15"/>
      <c r="F15" s="10"/>
      <c r="G15" s="11"/>
      <c r="H15" s="11"/>
      <c r="I15" s="10">
        <f t="shared" si="0"/>
        <v>0</v>
      </c>
      <c r="J15" s="1">
        <f t="shared" si="1"/>
        <v>0</v>
      </c>
      <c r="K15" s="12"/>
      <c r="L15" s="66"/>
      <c r="M15" s="9"/>
      <c r="N15" s="11"/>
    </row>
    <row r="16" spans="3:14" ht="20.25" customHeight="1" thickBot="1">
      <c r="C16" s="62"/>
      <c r="D16" s="17" t="s">
        <v>13</v>
      </c>
      <c r="E16" s="15"/>
      <c r="F16" s="10">
        <v>660000</v>
      </c>
      <c r="G16" s="10"/>
      <c r="H16" s="10"/>
      <c r="I16" s="10">
        <f t="shared" si="0"/>
        <v>660000</v>
      </c>
      <c r="J16" s="1">
        <f t="shared" si="1"/>
        <v>660000</v>
      </c>
      <c r="K16" s="12"/>
      <c r="L16" s="11"/>
      <c r="M16" s="11"/>
      <c r="N16" s="11"/>
    </row>
    <row r="17" spans="3:14" ht="20.25" customHeight="1" thickBot="1">
      <c r="C17" s="62"/>
      <c r="D17" s="17" t="s">
        <v>14</v>
      </c>
      <c r="E17" s="15"/>
      <c r="F17" s="10"/>
      <c r="G17" s="10"/>
      <c r="H17" s="10"/>
      <c r="I17" s="10">
        <f t="shared" si="0"/>
        <v>0</v>
      </c>
      <c r="J17" s="1">
        <f t="shared" si="1"/>
        <v>0</v>
      </c>
      <c r="K17" s="12"/>
      <c r="L17" s="11"/>
      <c r="M17" s="11"/>
      <c r="N17" s="11"/>
    </row>
    <row r="18" spans="3:14" ht="20.25" customHeight="1" thickBot="1">
      <c r="C18" s="62"/>
      <c r="D18" s="17" t="s">
        <v>15</v>
      </c>
      <c r="E18" s="15"/>
      <c r="F18" s="10">
        <v>440000</v>
      </c>
      <c r="G18" s="10"/>
      <c r="H18" s="10"/>
      <c r="I18" s="10">
        <f t="shared" si="0"/>
        <v>440000</v>
      </c>
      <c r="J18" s="1">
        <f t="shared" si="1"/>
        <v>440000</v>
      </c>
      <c r="K18" s="12"/>
      <c r="L18" s="11"/>
      <c r="M18" s="11"/>
      <c r="N18" s="11"/>
    </row>
    <row r="19" spans="3:14" ht="20.25" customHeight="1" thickBot="1">
      <c r="C19" s="62"/>
      <c r="D19" s="19" t="s">
        <v>71</v>
      </c>
      <c r="E19" s="67"/>
      <c r="F19" s="11">
        <v>200000</v>
      </c>
      <c r="G19" s="11"/>
      <c r="H19" s="11"/>
      <c r="I19" s="10">
        <f t="shared" si="0"/>
        <v>200000</v>
      </c>
      <c r="J19" s="1">
        <f t="shared" si="1"/>
        <v>200000</v>
      </c>
      <c r="K19" s="12"/>
      <c r="L19" s="66"/>
      <c r="M19" s="9"/>
      <c r="N19" s="9"/>
    </row>
    <row r="20" spans="3:14" ht="20.25" customHeight="1" thickBot="1">
      <c r="C20" s="62"/>
      <c r="D20" s="17" t="s">
        <v>73</v>
      </c>
      <c r="E20" s="67"/>
      <c r="F20" s="11"/>
      <c r="G20" s="11"/>
      <c r="H20" s="11"/>
      <c r="I20" s="10">
        <f t="shared" si="0"/>
        <v>0</v>
      </c>
      <c r="J20" s="1">
        <f t="shared" si="1"/>
        <v>0</v>
      </c>
      <c r="K20" s="12"/>
      <c r="L20" s="66"/>
      <c r="M20" s="9"/>
      <c r="N20" s="9"/>
    </row>
    <row r="21" spans="3:14" ht="20.25" customHeight="1" thickBot="1">
      <c r="C21" s="62"/>
      <c r="D21" s="19" t="s">
        <v>72</v>
      </c>
      <c r="E21" s="67"/>
      <c r="F21" s="11">
        <v>26000</v>
      </c>
      <c r="G21" s="11"/>
      <c r="H21" s="11"/>
      <c r="I21" s="10">
        <f t="shared" si="0"/>
        <v>26000</v>
      </c>
      <c r="J21" s="1">
        <f t="shared" si="1"/>
        <v>26000</v>
      </c>
      <c r="K21" s="12"/>
      <c r="L21" s="66"/>
      <c r="M21" s="9"/>
      <c r="N21" s="9"/>
    </row>
    <row r="22" spans="3:14" ht="20.25" customHeight="1" thickBot="1">
      <c r="C22" s="62"/>
      <c r="D22" s="17" t="s">
        <v>16</v>
      </c>
      <c r="E22" s="67"/>
      <c r="F22" s="11"/>
      <c r="G22" s="11"/>
      <c r="H22" s="11"/>
      <c r="I22" s="10">
        <f t="shared" si="0"/>
        <v>0</v>
      </c>
      <c r="J22" s="1">
        <f t="shared" si="1"/>
        <v>0</v>
      </c>
      <c r="K22" s="12"/>
      <c r="L22" s="66"/>
      <c r="M22" s="9"/>
      <c r="N22" s="9"/>
    </row>
    <row r="23" spans="3:14" ht="20.25" customHeight="1" thickBot="1">
      <c r="C23" s="62"/>
      <c r="D23" s="17" t="s">
        <v>17</v>
      </c>
      <c r="E23" s="67"/>
      <c r="F23" s="11">
        <v>200000</v>
      </c>
      <c r="G23" s="11"/>
      <c r="H23" s="11"/>
      <c r="I23" s="10">
        <f t="shared" si="0"/>
        <v>200000</v>
      </c>
      <c r="J23" s="1">
        <f t="shared" si="1"/>
        <v>200000</v>
      </c>
      <c r="K23" s="12"/>
      <c r="L23" s="66"/>
      <c r="M23" s="9"/>
      <c r="N23" s="9"/>
    </row>
    <row r="24" spans="3:14" ht="20.25" customHeight="1" thickBot="1">
      <c r="C24" s="62"/>
      <c r="D24" s="19" t="s">
        <v>74</v>
      </c>
      <c r="E24" s="67"/>
      <c r="F24" s="11"/>
      <c r="G24" s="11"/>
      <c r="H24" s="11"/>
      <c r="I24" s="10">
        <f t="shared" si="0"/>
        <v>0</v>
      </c>
      <c r="J24" s="1">
        <f t="shared" si="1"/>
        <v>0</v>
      </c>
      <c r="K24" s="12"/>
      <c r="L24" s="66"/>
      <c r="M24" s="9"/>
      <c r="N24" s="9"/>
    </row>
    <row r="25" spans="3:14" ht="20.25" customHeight="1" thickBot="1">
      <c r="C25" s="62"/>
      <c r="D25" s="17" t="s">
        <v>18</v>
      </c>
      <c r="E25" s="67"/>
      <c r="F25" s="11">
        <v>60000</v>
      </c>
      <c r="G25" s="11"/>
      <c r="H25" s="11"/>
      <c r="I25" s="10">
        <f t="shared" si="0"/>
        <v>60000</v>
      </c>
      <c r="J25" s="1">
        <f t="shared" si="1"/>
        <v>60000</v>
      </c>
      <c r="K25" s="12"/>
      <c r="L25" s="66"/>
      <c r="M25" s="9"/>
      <c r="N25" s="9"/>
    </row>
    <row r="26" spans="3:14" ht="20.25" customHeight="1" thickBot="1">
      <c r="C26" s="63"/>
      <c r="D26" s="17" t="s">
        <v>19</v>
      </c>
      <c r="E26" s="15"/>
      <c r="F26" s="10">
        <v>88000</v>
      </c>
      <c r="G26" s="11"/>
      <c r="H26" s="11"/>
      <c r="I26" s="10">
        <f t="shared" si="0"/>
        <v>88000</v>
      </c>
      <c r="J26" s="1">
        <f t="shared" si="1"/>
        <v>88000</v>
      </c>
      <c r="K26" s="12"/>
      <c r="L26" s="66"/>
      <c r="M26" s="9"/>
      <c r="N26" s="11"/>
    </row>
    <row r="27" spans="3:14" ht="20.25" customHeight="1" thickBot="1">
      <c r="C27" s="64" t="s">
        <v>79</v>
      </c>
      <c r="D27" s="20" t="s">
        <v>67</v>
      </c>
      <c r="E27" s="15"/>
      <c r="F27" s="10"/>
      <c r="G27" s="10"/>
      <c r="H27" s="11"/>
      <c r="I27" s="10">
        <f t="shared" si="0"/>
        <v>0</v>
      </c>
      <c r="J27" s="1">
        <f t="shared" si="1"/>
        <v>0</v>
      </c>
      <c r="K27" s="13"/>
      <c r="L27" s="10"/>
      <c r="M27" s="10"/>
      <c r="N27" s="11"/>
    </row>
    <row r="28" spans="3:14" ht="20.25" customHeight="1" thickBot="1">
      <c r="C28" s="46"/>
      <c r="D28" s="20" t="s">
        <v>68</v>
      </c>
      <c r="E28" s="15"/>
      <c r="F28" s="10"/>
      <c r="G28" s="10"/>
      <c r="H28" s="11"/>
      <c r="I28" s="10">
        <f t="shared" si="0"/>
        <v>0</v>
      </c>
      <c r="J28" s="1">
        <f t="shared" si="1"/>
        <v>0</v>
      </c>
      <c r="K28" s="13"/>
      <c r="L28" s="10"/>
      <c r="M28" s="10"/>
      <c r="N28" s="11"/>
    </row>
    <row r="29" spans="3:14" ht="20.25" customHeight="1" thickBot="1">
      <c r="C29" s="46"/>
      <c r="D29" s="20" t="s">
        <v>75</v>
      </c>
      <c r="E29" s="15"/>
      <c r="F29" s="10"/>
      <c r="G29" s="11"/>
      <c r="H29" s="11"/>
      <c r="I29" s="10">
        <f t="shared" si="0"/>
        <v>0</v>
      </c>
      <c r="J29" s="1">
        <f t="shared" si="1"/>
        <v>0</v>
      </c>
      <c r="K29" s="13"/>
      <c r="L29" s="10"/>
      <c r="M29" s="10"/>
      <c r="N29" s="9"/>
    </row>
    <row r="30" spans="3:14" ht="20.25" customHeight="1" thickBot="1">
      <c r="C30" s="46"/>
      <c r="D30" s="21" t="s">
        <v>20</v>
      </c>
      <c r="E30" s="15"/>
      <c r="F30" s="10"/>
      <c r="G30" s="10"/>
      <c r="H30" s="10"/>
      <c r="I30" s="10">
        <f t="shared" si="0"/>
        <v>0</v>
      </c>
      <c r="J30" s="1">
        <f t="shared" si="1"/>
        <v>0</v>
      </c>
      <c r="K30" s="13"/>
      <c r="L30" s="10"/>
      <c r="M30" s="10"/>
      <c r="N30" s="9"/>
    </row>
    <row r="31" spans="3:14" ht="20.25" customHeight="1" thickBot="1">
      <c r="C31" s="46"/>
      <c r="D31" s="21" t="s">
        <v>21</v>
      </c>
      <c r="E31" s="15"/>
      <c r="F31" s="10">
        <v>1700000</v>
      </c>
      <c r="G31" s="10"/>
      <c r="H31" s="10"/>
      <c r="I31" s="10">
        <f t="shared" si="0"/>
        <v>1700000</v>
      </c>
      <c r="J31" s="1">
        <f t="shared" si="1"/>
        <v>1700000</v>
      </c>
      <c r="K31" s="13"/>
      <c r="L31" s="10"/>
      <c r="M31" s="10"/>
      <c r="N31" s="9"/>
    </row>
    <row r="32" spans="3:14" ht="20.25" customHeight="1" thickBot="1">
      <c r="C32" s="46"/>
      <c r="D32" s="21" t="s">
        <v>22</v>
      </c>
      <c r="E32" s="67"/>
      <c r="F32" s="11"/>
      <c r="G32" s="11"/>
      <c r="H32" s="11"/>
      <c r="I32" s="10">
        <f t="shared" si="0"/>
        <v>0</v>
      </c>
      <c r="J32" s="1">
        <f t="shared" si="1"/>
        <v>0</v>
      </c>
      <c r="K32" s="12"/>
      <c r="L32" s="66"/>
      <c r="M32" s="9"/>
      <c r="N32" s="9"/>
    </row>
    <row r="33" spans="3:14" ht="20.25" customHeight="1" thickBot="1">
      <c r="C33" s="46"/>
      <c r="D33" s="21" t="s">
        <v>23</v>
      </c>
      <c r="E33" s="15"/>
      <c r="F33" s="10"/>
      <c r="G33" s="11"/>
      <c r="H33" s="11"/>
      <c r="I33" s="10">
        <f t="shared" si="0"/>
        <v>0</v>
      </c>
      <c r="J33" s="1">
        <f t="shared" si="1"/>
        <v>0</v>
      </c>
      <c r="K33" s="12"/>
      <c r="L33" s="66"/>
      <c r="M33" s="9"/>
      <c r="N33" s="9"/>
    </row>
    <row r="34" spans="3:14" ht="20.25" customHeight="1" thickBot="1">
      <c r="C34" s="46"/>
      <c r="D34" s="21" t="s">
        <v>24</v>
      </c>
      <c r="E34" s="67"/>
      <c r="F34" s="11"/>
      <c r="G34" s="11"/>
      <c r="H34" s="11"/>
      <c r="I34" s="10">
        <f t="shared" si="0"/>
        <v>0</v>
      </c>
      <c r="J34" s="1">
        <f t="shared" si="1"/>
        <v>0</v>
      </c>
      <c r="K34" s="12"/>
      <c r="L34" s="66"/>
      <c r="M34" s="9"/>
      <c r="N34" s="9"/>
    </row>
    <row r="35" spans="3:14" ht="20.25" customHeight="1" thickBot="1">
      <c r="C35" s="46"/>
      <c r="D35" s="20" t="s">
        <v>76</v>
      </c>
      <c r="E35" s="67"/>
      <c r="F35" s="11"/>
      <c r="G35" s="11"/>
      <c r="H35" s="11"/>
      <c r="I35" s="10">
        <f t="shared" si="0"/>
        <v>0</v>
      </c>
      <c r="J35" s="1">
        <f t="shared" si="1"/>
        <v>0</v>
      </c>
      <c r="K35" s="12"/>
      <c r="L35" s="66"/>
      <c r="M35" s="9"/>
      <c r="N35" s="9"/>
    </row>
    <row r="36" spans="3:14" ht="20.25" customHeight="1" thickBot="1">
      <c r="C36" s="46"/>
      <c r="D36" s="21" t="s">
        <v>25</v>
      </c>
      <c r="E36" s="67"/>
      <c r="F36" s="11">
        <v>30000</v>
      </c>
      <c r="G36" s="11"/>
      <c r="H36" s="11"/>
      <c r="I36" s="10">
        <f t="shared" si="0"/>
        <v>30000</v>
      </c>
      <c r="J36" s="1">
        <f t="shared" si="1"/>
        <v>30000</v>
      </c>
      <c r="K36" s="12"/>
      <c r="L36" s="66"/>
      <c r="M36" s="9"/>
      <c r="N36" s="11"/>
    </row>
    <row r="37" spans="3:14" ht="20.25" customHeight="1" thickBot="1">
      <c r="C37" s="46"/>
      <c r="D37" s="21" t="s">
        <v>26</v>
      </c>
      <c r="E37" s="67"/>
      <c r="F37" s="11">
        <v>800000</v>
      </c>
      <c r="G37" s="11"/>
      <c r="H37" s="11"/>
      <c r="I37" s="10">
        <f t="shared" si="0"/>
        <v>800000</v>
      </c>
      <c r="J37" s="1">
        <f t="shared" si="1"/>
        <v>800000</v>
      </c>
      <c r="K37" s="12"/>
      <c r="L37" s="66"/>
      <c r="M37" s="9"/>
      <c r="N37" s="9"/>
    </row>
    <row r="38" spans="3:14" ht="20.25" customHeight="1" thickBot="1">
      <c r="C38" s="47"/>
      <c r="D38" s="22" t="s">
        <v>69</v>
      </c>
      <c r="E38" s="67"/>
      <c r="F38" s="11"/>
      <c r="G38" s="11"/>
      <c r="H38" s="11"/>
      <c r="I38" s="10">
        <f t="shared" si="0"/>
        <v>0</v>
      </c>
      <c r="J38" s="1">
        <f t="shared" si="1"/>
        <v>0</v>
      </c>
      <c r="K38" s="12"/>
      <c r="L38" s="66"/>
      <c r="M38" s="9"/>
      <c r="N38" s="9"/>
    </row>
    <row r="39" spans="3:14" ht="20.25" customHeight="1" thickBot="1">
      <c r="C39" s="48" t="s">
        <v>27</v>
      </c>
      <c r="D39" s="17" t="s">
        <v>28</v>
      </c>
      <c r="E39" s="67"/>
      <c r="F39" s="11">
        <v>2080000</v>
      </c>
      <c r="G39" s="11"/>
      <c r="H39" s="11"/>
      <c r="I39" s="10">
        <f t="shared" si="0"/>
        <v>2080000</v>
      </c>
      <c r="J39" s="1">
        <f t="shared" si="1"/>
        <v>2080000</v>
      </c>
      <c r="K39" s="12" t="s">
        <v>87</v>
      </c>
      <c r="L39" s="66" t="s">
        <v>86</v>
      </c>
      <c r="M39" s="9"/>
      <c r="N39" s="9"/>
    </row>
    <row r="40" spans="3:14" ht="20.25" customHeight="1" thickBot="1">
      <c r="C40" s="49"/>
      <c r="D40" s="17" t="s">
        <v>29</v>
      </c>
      <c r="E40" s="67"/>
      <c r="F40" s="11"/>
      <c r="G40" s="11"/>
      <c r="H40" s="11"/>
      <c r="I40" s="10">
        <f t="shared" si="0"/>
        <v>0</v>
      </c>
      <c r="J40" s="1">
        <f t="shared" si="1"/>
        <v>0</v>
      </c>
      <c r="K40" s="12"/>
      <c r="L40" s="66"/>
      <c r="M40" s="9"/>
      <c r="N40" s="9"/>
    </row>
    <row r="41" spans="3:14" ht="20.25" customHeight="1" thickBot="1">
      <c r="C41" s="49"/>
      <c r="D41" s="17" t="s">
        <v>30</v>
      </c>
      <c r="E41" s="67"/>
      <c r="F41" s="11"/>
      <c r="G41" s="11"/>
      <c r="H41" s="11"/>
      <c r="I41" s="10">
        <f t="shared" si="0"/>
        <v>0</v>
      </c>
      <c r="J41" s="1">
        <f t="shared" si="1"/>
        <v>0</v>
      </c>
      <c r="K41" s="12"/>
      <c r="L41" s="66"/>
      <c r="M41" s="9"/>
      <c r="N41" s="9"/>
    </row>
    <row r="42" spans="3:14" ht="20.25" customHeight="1" thickBot="1">
      <c r="C42" s="49"/>
      <c r="D42" s="17" t="s">
        <v>31</v>
      </c>
      <c r="E42" s="67"/>
      <c r="F42" s="11">
        <v>3000000</v>
      </c>
      <c r="G42" s="11"/>
      <c r="H42" s="11"/>
      <c r="I42" s="10">
        <f t="shared" si="0"/>
        <v>3000000</v>
      </c>
      <c r="J42" s="1">
        <f t="shared" si="1"/>
        <v>3000000</v>
      </c>
      <c r="K42" s="12" t="s">
        <v>87</v>
      </c>
      <c r="L42" s="66" t="s">
        <v>86</v>
      </c>
      <c r="M42" s="9"/>
      <c r="N42" s="9"/>
    </row>
    <row r="43" spans="3:14" ht="20.25" customHeight="1" thickBot="1">
      <c r="C43" s="65"/>
      <c r="D43" s="17" t="s">
        <v>32</v>
      </c>
      <c r="E43" s="67"/>
      <c r="F43" s="11"/>
      <c r="G43" s="11"/>
      <c r="H43" s="11"/>
      <c r="I43" s="10">
        <f t="shared" si="0"/>
        <v>0</v>
      </c>
      <c r="J43" s="1">
        <f t="shared" si="1"/>
        <v>0</v>
      </c>
      <c r="K43" s="12"/>
      <c r="L43" s="66"/>
      <c r="M43" s="9"/>
      <c r="N43" s="9"/>
    </row>
    <row r="44" spans="3:14" ht="20.25" customHeight="1" thickBot="1">
      <c r="C44" s="45" t="s">
        <v>33</v>
      </c>
      <c r="D44" s="21" t="s">
        <v>34</v>
      </c>
      <c r="E44" s="67"/>
      <c r="F44" s="11">
        <v>600000</v>
      </c>
      <c r="G44" s="11"/>
      <c r="H44" s="11"/>
      <c r="I44" s="10">
        <f t="shared" si="0"/>
        <v>600000</v>
      </c>
      <c r="J44" s="1">
        <f t="shared" si="1"/>
        <v>600000</v>
      </c>
      <c r="K44" s="12"/>
      <c r="L44" s="66"/>
      <c r="M44" s="9"/>
      <c r="N44" s="9"/>
    </row>
    <row r="45" spans="3:14" ht="20.25" customHeight="1" thickBot="1">
      <c r="C45" s="46"/>
      <c r="D45" s="21" t="s">
        <v>35</v>
      </c>
      <c r="E45" s="67"/>
      <c r="F45" s="11">
        <v>540000</v>
      </c>
      <c r="G45" s="11"/>
      <c r="H45" s="11"/>
      <c r="I45" s="10">
        <f t="shared" si="0"/>
        <v>540000</v>
      </c>
      <c r="J45" s="1">
        <f t="shared" si="1"/>
        <v>540000</v>
      </c>
      <c r="K45" s="12"/>
      <c r="L45" s="66"/>
      <c r="M45" s="9"/>
      <c r="N45" s="9"/>
    </row>
    <row r="46" spans="3:14" ht="20.25" customHeight="1" thickBot="1">
      <c r="C46" s="46"/>
      <c r="D46" s="21" t="s">
        <v>36</v>
      </c>
      <c r="E46" s="67"/>
      <c r="F46" s="11">
        <v>400000</v>
      </c>
      <c r="G46" s="11"/>
      <c r="H46" s="11"/>
      <c r="I46" s="10">
        <f t="shared" si="0"/>
        <v>400000</v>
      </c>
      <c r="J46" s="1">
        <f t="shared" si="1"/>
        <v>400000</v>
      </c>
      <c r="K46" s="12"/>
      <c r="L46" s="66"/>
      <c r="M46" s="9"/>
      <c r="N46" s="9"/>
    </row>
    <row r="47" spans="3:14" ht="20.25" customHeight="1" thickBot="1">
      <c r="C47" s="46"/>
      <c r="D47" s="21" t="s">
        <v>37</v>
      </c>
      <c r="E47" s="67"/>
      <c r="F47" s="11">
        <v>360000</v>
      </c>
      <c r="G47" s="11"/>
      <c r="H47" s="11"/>
      <c r="I47" s="10">
        <f t="shared" si="0"/>
        <v>360000</v>
      </c>
      <c r="J47" s="1">
        <f t="shared" si="1"/>
        <v>360000</v>
      </c>
      <c r="K47" s="12"/>
      <c r="L47" s="66"/>
      <c r="M47" s="9"/>
      <c r="N47" s="9"/>
    </row>
    <row r="48" spans="3:14" ht="20.25" customHeight="1" thickBot="1">
      <c r="C48" s="46"/>
      <c r="D48" s="21" t="s">
        <v>38</v>
      </c>
      <c r="E48" s="67"/>
      <c r="F48" s="11"/>
      <c r="G48" s="11"/>
      <c r="H48" s="11"/>
      <c r="I48" s="10">
        <f t="shared" si="0"/>
        <v>0</v>
      </c>
      <c r="J48" s="1">
        <f t="shared" si="1"/>
        <v>0</v>
      </c>
      <c r="K48" s="12"/>
      <c r="L48" s="66"/>
      <c r="M48" s="9"/>
      <c r="N48" s="9"/>
    </row>
    <row r="49" spans="3:14" ht="20.25" customHeight="1" thickBot="1">
      <c r="C49" s="46"/>
      <c r="D49" s="21" t="s">
        <v>39</v>
      </c>
      <c r="E49" s="67"/>
      <c r="F49" s="11"/>
      <c r="G49" s="11"/>
      <c r="H49" s="11"/>
      <c r="I49" s="10">
        <f t="shared" si="0"/>
        <v>0</v>
      </c>
      <c r="J49" s="1">
        <f t="shared" si="1"/>
        <v>0</v>
      </c>
      <c r="K49" s="12"/>
      <c r="L49" s="66"/>
      <c r="M49" s="9"/>
      <c r="N49" s="9"/>
    </row>
    <row r="50" spans="3:14" ht="20.25" customHeight="1" thickBot="1">
      <c r="C50" s="46"/>
      <c r="D50" s="21" t="s">
        <v>40</v>
      </c>
      <c r="E50" s="67"/>
      <c r="F50" s="11">
        <v>2000000</v>
      </c>
      <c r="G50" s="11"/>
      <c r="H50" s="11"/>
      <c r="I50" s="10">
        <f t="shared" si="0"/>
        <v>2000000</v>
      </c>
      <c r="J50" s="1">
        <f t="shared" si="1"/>
        <v>2000000</v>
      </c>
      <c r="K50" s="12"/>
      <c r="L50" s="66"/>
      <c r="M50" s="9"/>
      <c r="N50" s="9"/>
    </row>
    <row r="51" spans="3:14" ht="20.25" customHeight="1" thickBot="1">
      <c r="C51" s="46"/>
      <c r="D51" s="21" t="s">
        <v>41</v>
      </c>
      <c r="E51" s="67"/>
      <c r="F51" s="11">
        <v>500000</v>
      </c>
      <c r="G51" s="11"/>
      <c r="H51" s="11"/>
      <c r="I51" s="10">
        <f t="shared" si="0"/>
        <v>500000</v>
      </c>
      <c r="J51" s="1">
        <f t="shared" si="1"/>
        <v>500000</v>
      </c>
      <c r="K51" s="12"/>
      <c r="L51" s="66"/>
      <c r="M51" s="9"/>
      <c r="N51" s="9"/>
    </row>
    <row r="52" spans="3:14" ht="20.25" customHeight="1" thickBot="1">
      <c r="C52" s="46"/>
      <c r="D52" s="21" t="s">
        <v>42</v>
      </c>
      <c r="E52" s="67"/>
      <c r="F52" s="11">
        <v>178000</v>
      </c>
      <c r="G52" s="11"/>
      <c r="H52" s="11"/>
      <c r="I52" s="10">
        <f t="shared" si="0"/>
        <v>178000</v>
      </c>
      <c r="J52" s="1">
        <f t="shared" si="1"/>
        <v>178000</v>
      </c>
      <c r="K52" s="12"/>
      <c r="L52" s="66"/>
      <c r="M52" s="9"/>
      <c r="N52" s="9"/>
    </row>
    <row r="53" spans="3:14" ht="20.25" customHeight="1" thickBot="1">
      <c r="C53" s="46"/>
      <c r="D53" s="21" t="s">
        <v>43</v>
      </c>
      <c r="E53" s="67"/>
      <c r="F53" s="11"/>
      <c r="G53" s="11"/>
      <c r="H53" s="11"/>
      <c r="I53" s="10">
        <f t="shared" si="0"/>
        <v>0</v>
      </c>
      <c r="J53" s="1">
        <f t="shared" si="1"/>
        <v>0</v>
      </c>
      <c r="K53" s="12"/>
      <c r="L53" s="66"/>
      <c r="M53" s="9"/>
      <c r="N53" s="9"/>
    </row>
    <row r="54" spans="3:14" ht="20.25" customHeight="1" thickBot="1">
      <c r="C54" s="46"/>
      <c r="D54" s="20" t="s">
        <v>84</v>
      </c>
      <c r="E54" s="67"/>
      <c r="F54" s="11">
        <v>80000</v>
      </c>
      <c r="G54" s="11"/>
      <c r="H54" s="11"/>
      <c r="I54" s="10">
        <f t="shared" si="0"/>
        <v>80000</v>
      </c>
      <c r="J54" s="1">
        <f t="shared" si="1"/>
        <v>80000</v>
      </c>
      <c r="K54" s="12"/>
      <c r="L54" s="66"/>
      <c r="M54" s="9"/>
      <c r="N54" s="9"/>
    </row>
    <row r="55" spans="3:14" ht="20.25" customHeight="1" thickBot="1">
      <c r="C55" s="47"/>
      <c r="D55" s="21" t="s">
        <v>44</v>
      </c>
      <c r="E55" s="67"/>
      <c r="F55" s="11">
        <v>1000000</v>
      </c>
      <c r="G55" s="11"/>
      <c r="H55" s="11"/>
      <c r="I55" s="10">
        <f t="shared" si="0"/>
        <v>1000000</v>
      </c>
      <c r="J55" s="1">
        <f t="shared" si="1"/>
        <v>1000000</v>
      </c>
      <c r="K55" s="12"/>
      <c r="L55" s="66"/>
      <c r="M55" s="9"/>
      <c r="N55" s="9"/>
    </row>
    <row r="56" spans="3:14" ht="20.25" customHeight="1" thickBot="1">
      <c r="C56" s="48" t="s">
        <v>45</v>
      </c>
      <c r="D56" s="17" t="s">
        <v>46</v>
      </c>
      <c r="E56" s="67"/>
      <c r="F56" s="11">
        <v>3150000</v>
      </c>
      <c r="G56" s="11"/>
      <c r="H56" s="11"/>
      <c r="I56" s="10">
        <f t="shared" si="0"/>
        <v>3150000</v>
      </c>
      <c r="J56" s="1">
        <f t="shared" si="1"/>
        <v>3150000</v>
      </c>
      <c r="K56" s="12"/>
      <c r="L56" s="66"/>
      <c r="M56" s="9"/>
      <c r="N56" s="9"/>
    </row>
    <row r="57" spans="3:14" ht="20.25" customHeight="1" thickBot="1">
      <c r="C57" s="49"/>
      <c r="D57" s="17" t="s">
        <v>47</v>
      </c>
      <c r="E57" s="67"/>
      <c r="F57" s="11">
        <v>3900000</v>
      </c>
      <c r="G57" s="11"/>
      <c r="H57" s="11"/>
      <c r="I57" s="10">
        <f t="shared" si="0"/>
        <v>3900000</v>
      </c>
      <c r="J57" s="1">
        <f t="shared" si="1"/>
        <v>3900000</v>
      </c>
      <c r="K57" s="12"/>
      <c r="L57" s="66"/>
      <c r="M57" s="9"/>
      <c r="N57" s="9"/>
    </row>
    <row r="58" spans="3:14" ht="20.25" customHeight="1" thickBot="1">
      <c r="C58" s="49"/>
      <c r="D58" s="17" t="s">
        <v>48</v>
      </c>
      <c r="E58" s="67"/>
      <c r="F58" s="11">
        <v>1150000</v>
      </c>
      <c r="G58" s="11"/>
      <c r="H58" s="11"/>
      <c r="I58" s="10">
        <f t="shared" si="0"/>
        <v>1150000</v>
      </c>
      <c r="J58" s="1">
        <f t="shared" si="1"/>
        <v>1150000</v>
      </c>
      <c r="K58" s="12"/>
      <c r="L58" s="66"/>
      <c r="M58" s="9"/>
      <c r="N58" s="9"/>
    </row>
    <row r="59" spans="3:14" ht="20.25" customHeight="1" thickBot="1">
      <c r="C59" s="49"/>
      <c r="D59" s="18" t="s">
        <v>77</v>
      </c>
      <c r="E59" s="67"/>
      <c r="F59" s="11">
        <v>3300000</v>
      </c>
      <c r="G59" s="11"/>
      <c r="H59" s="11"/>
      <c r="I59" s="10">
        <f t="shared" si="0"/>
        <v>3300000</v>
      </c>
      <c r="J59" s="1">
        <f t="shared" si="1"/>
        <v>3300000</v>
      </c>
      <c r="K59" s="12"/>
      <c r="L59" s="66"/>
      <c r="M59" s="9"/>
      <c r="N59" s="9"/>
    </row>
    <row r="60" spans="3:14" ht="20.25" customHeight="1" thickBot="1">
      <c r="C60" s="49"/>
      <c r="D60" s="19" t="s">
        <v>91</v>
      </c>
      <c r="E60" s="67"/>
      <c r="F60" s="11">
        <v>880000</v>
      </c>
      <c r="G60" s="11"/>
      <c r="H60" s="11"/>
      <c r="I60" s="10">
        <f t="shared" si="0"/>
        <v>880000</v>
      </c>
      <c r="J60" s="1">
        <f t="shared" si="1"/>
        <v>880000</v>
      </c>
      <c r="K60" s="12"/>
      <c r="L60" s="66"/>
      <c r="M60" s="9"/>
      <c r="N60" s="9"/>
    </row>
    <row r="61" spans="3:14" ht="20.25" customHeight="1" thickBot="1">
      <c r="C61" s="49"/>
      <c r="D61" s="19" t="s">
        <v>90</v>
      </c>
      <c r="E61" s="67"/>
      <c r="F61" s="11">
        <v>1450000</v>
      </c>
      <c r="G61" s="11"/>
      <c r="H61" s="11"/>
      <c r="I61" s="10">
        <f t="shared" si="0"/>
        <v>1450000</v>
      </c>
      <c r="J61" s="1">
        <f t="shared" si="1"/>
        <v>1450000</v>
      </c>
      <c r="K61" s="12"/>
      <c r="L61" s="66"/>
      <c r="M61" s="9"/>
      <c r="N61" s="9"/>
    </row>
    <row r="62" spans="3:14" ht="20.25" customHeight="1" thickBot="1">
      <c r="C62" s="49"/>
      <c r="D62" s="23" t="s">
        <v>89</v>
      </c>
      <c r="E62" s="67"/>
      <c r="F62" s="11">
        <v>1420000</v>
      </c>
      <c r="G62" s="11"/>
      <c r="H62" s="11"/>
      <c r="I62" s="10">
        <f t="shared" si="0"/>
        <v>1420000</v>
      </c>
      <c r="J62" s="1">
        <f t="shared" si="1"/>
        <v>1420000</v>
      </c>
      <c r="K62" s="12"/>
      <c r="L62" s="66"/>
      <c r="M62" s="9"/>
      <c r="N62" s="9"/>
    </row>
    <row r="63" spans="3:14" ht="20.25" customHeight="1" thickBot="1">
      <c r="C63" s="49"/>
      <c r="D63" s="17" t="s">
        <v>49</v>
      </c>
      <c r="E63" s="67"/>
      <c r="F63" s="11"/>
      <c r="G63" s="11"/>
      <c r="H63" s="11"/>
      <c r="I63" s="10">
        <f t="shared" si="0"/>
        <v>0</v>
      </c>
      <c r="J63" s="1">
        <f t="shared" si="1"/>
        <v>0</v>
      </c>
      <c r="K63" s="12"/>
      <c r="L63" s="66"/>
      <c r="M63" s="9"/>
      <c r="N63" s="9"/>
    </row>
    <row r="64" spans="3:14" ht="20.25" customHeight="1" thickBot="1">
      <c r="C64" s="65"/>
      <c r="D64" s="24" t="s">
        <v>66</v>
      </c>
      <c r="E64" s="67"/>
      <c r="F64" s="11">
        <v>4750000</v>
      </c>
      <c r="G64" s="11"/>
      <c r="H64" s="11"/>
      <c r="I64" s="10">
        <f t="shared" si="0"/>
        <v>4750000</v>
      </c>
      <c r="J64" s="1">
        <f t="shared" si="1"/>
        <v>4750000</v>
      </c>
      <c r="K64" s="12"/>
      <c r="L64" s="66"/>
      <c r="M64" s="9"/>
      <c r="N64" s="9"/>
    </row>
    <row r="65" spans="3:14" ht="20.25" customHeight="1" thickBot="1">
      <c r="C65" s="45" t="s">
        <v>50</v>
      </c>
      <c r="D65" s="25" t="s">
        <v>64</v>
      </c>
      <c r="E65" s="67"/>
      <c r="F65" s="11"/>
      <c r="G65" s="11"/>
      <c r="H65" s="11"/>
      <c r="I65" s="10">
        <f t="shared" si="0"/>
        <v>0</v>
      </c>
      <c r="J65" s="1">
        <f t="shared" si="1"/>
        <v>0</v>
      </c>
      <c r="K65" s="12"/>
      <c r="L65" s="66"/>
      <c r="M65" s="9"/>
      <c r="N65" s="9"/>
    </row>
    <row r="66" spans="3:14" ht="20.25" customHeight="1" thickBot="1">
      <c r="C66" s="46"/>
      <c r="D66" s="21" t="s">
        <v>51</v>
      </c>
      <c r="E66" s="67"/>
      <c r="F66" s="11"/>
      <c r="G66" s="11"/>
      <c r="H66" s="11"/>
      <c r="I66" s="10">
        <f t="shared" si="0"/>
        <v>0</v>
      </c>
      <c r="J66" s="1">
        <f t="shared" si="1"/>
        <v>0</v>
      </c>
      <c r="K66" s="12"/>
      <c r="L66" s="66"/>
      <c r="M66" s="9"/>
      <c r="N66" s="9"/>
    </row>
    <row r="67" spans="3:14" ht="20.25" customHeight="1" thickBot="1">
      <c r="C67" s="46"/>
      <c r="D67" s="21" t="s">
        <v>52</v>
      </c>
      <c r="E67" s="67"/>
      <c r="F67" s="11"/>
      <c r="G67" s="11"/>
      <c r="H67" s="11"/>
      <c r="I67" s="10">
        <f t="shared" si="0"/>
        <v>0</v>
      </c>
      <c r="J67" s="1">
        <f t="shared" si="1"/>
        <v>0</v>
      </c>
      <c r="K67" s="12"/>
      <c r="L67" s="66"/>
      <c r="M67" s="9"/>
      <c r="N67" s="9"/>
    </row>
    <row r="68" spans="3:14" ht="20.25" customHeight="1" thickBot="1">
      <c r="C68" s="46"/>
      <c r="D68" s="21" t="s">
        <v>65</v>
      </c>
      <c r="E68" s="67"/>
      <c r="F68" s="11"/>
      <c r="G68" s="11"/>
      <c r="H68" s="11"/>
      <c r="I68" s="10">
        <f t="shared" si="0"/>
        <v>0</v>
      </c>
      <c r="J68" s="1">
        <f t="shared" si="1"/>
        <v>0</v>
      </c>
      <c r="K68" s="12"/>
      <c r="L68" s="66"/>
      <c r="M68" s="9"/>
      <c r="N68" s="9"/>
    </row>
    <row r="69" spans="3:14" ht="20.25" customHeight="1" thickBot="1">
      <c r="C69" s="46"/>
      <c r="D69" s="21" t="s">
        <v>53</v>
      </c>
      <c r="E69" s="67"/>
      <c r="F69" s="11"/>
      <c r="G69" s="11"/>
      <c r="H69" s="11"/>
      <c r="I69" s="10">
        <f t="shared" si="0"/>
        <v>0</v>
      </c>
      <c r="J69" s="1">
        <f t="shared" si="1"/>
        <v>0</v>
      </c>
      <c r="K69" s="12"/>
      <c r="L69" s="66"/>
      <c r="M69" s="9"/>
      <c r="N69" s="9"/>
    </row>
    <row r="70" spans="3:14" ht="20.25" customHeight="1" thickBot="1">
      <c r="C70" s="46"/>
      <c r="D70" s="21" t="s">
        <v>54</v>
      </c>
      <c r="E70" s="67"/>
      <c r="F70" s="11"/>
      <c r="G70" s="11"/>
      <c r="H70" s="11"/>
      <c r="I70" s="10">
        <f t="shared" si="0"/>
        <v>0</v>
      </c>
      <c r="J70" s="1">
        <f t="shared" si="1"/>
        <v>0</v>
      </c>
      <c r="K70" s="12"/>
      <c r="L70" s="66"/>
      <c r="M70" s="9"/>
      <c r="N70" s="9"/>
    </row>
    <row r="71" spans="3:14" ht="20.25" customHeight="1" thickBot="1">
      <c r="C71" s="47"/>
      <c r="D71" s="21" t="s">
        <v>55</v>
      </c>
      <c r="E71" s="67"/>
      <c r="F71" s="11"/>
      <c r="G71" s="11"/>
      <c r="H71" s="11"/>
      <c r="I71" s="10">
        <f t="shared" si="0"/>
        <v>0</v>
      </c>
      <c r="J71" s="1">
        <f t="shared" si="1"/>
        <v>0</v>
      </c>
      <c r="K71" s="12"/>
      <c r="L71" s="66"/>
      <c r="M71" s="9"/>
      <c r="N71" s="9"/>
    </row>
    <row r="72" spans="3:14" ht="20.25" customHeight="1" thickBot="1">
      <c r="C72" s="48" t="s">
        <v>56</v>
      </c>
      <c r="D72" s="17" t="s">
        <v>57</v>
      </c>
      <c r="E72" s="67"/>
      <c r="F72" s="11">
        <v>3300000</v>
      </c>
      <c r="G72" s="11"/>
      <c r="H72" s="11"/>
      <c r="I72" s="10">
        <f t="shared" si="0"/>
        <v>3300000</v>
      </c>
      <c r="J72" s="1">
        <f t="shared" si="1"/>
        <v>3300000</v>
      </c>
      <c r="K72" s="12"/>
      <c r="L72" s="66"/>
      <c r="M72" s="9"/>
      <c r="N72" s="9"/>
    </row>
    <row r="73" spans="3:14" ht="20.25" customHeight="1" thickBot="1">
      <c r="C73" s="49"/>
      <c r="D73" s="17" t="s">
        <v>58</v>
      </c>
      <c r="E73" s="67"/>
      <c r="F73" s="11"/>
      <c r="G73" s="11"/>
      <c r="H73" s="11"/>
      <c r="I73" s="10">
        <f>F73-G73-H73</f>
        <v>0</v>
      </c>
      <c r="J73" s="1">
        <f>F73-H73</f>
        <v>0</v>
      </c>
      <c r="K73" s="12"/>
      <c r="L73" s="66"/>
      <c r="M73" s="9"/>
      <c r="N73" s="9"/>
    </row>
    <row r="74" spans="3:14" ht="20.25" customHeight="1" thickBot="1">
      <c r="C74" s="49"/>
      <c r="D74" s="17" t="s">
        <v>59</v>
      </c>
      <c r="E74" s="67"/>
      <c r="F74" s="11"/>
      <c r="G74" s="11"/>
      <c r="H74" s="11"/>
      <c r="I74" s="10">
        <f t="shared" si="0"/>
        <v>0</v>
      </c>
      <c r="J74" s="1">
        <f t="shared" si="1"/>
        <v>0</v>
      </c>
      <c r="K74" s="12"/>
      <c r="L74" s="66"/>
      <c r="M74" s="9"/>
      <c r="N74" s="9"/>
    </row>
    <row r="75" spans="3:14" ht="20.25" customHeight="1" thickBot="1">
      <c r="C75" s="49"/>
      <c r="D75" s="17" t="s">
        <v>60</v>
      </c>
      <c r="E75" s="67"/>
      <c r="F75" s="11">
        <v>700000</v>
      </c>
      <c r="G75" s="11"/>
      <c r="H75" s="11"/>
      <c r="I75" s="10">
        <f t="shared" si="0"/>
        <v>700000</v>
      </c>
      <c r="J75" s="1">
        <f t="shared" si="1"/>
        <v>700000</v>
      </c>
      <c r="K75" s="12"/>
      <c r="L75" s="66"/>
      <c r="M75" s="9"/>
      <c r="N75" s="9"/>
    </row>
    <row r="76" spans="3:14" ht="20.25" customHeight="1" thickBot="1">
      <c r="C76" s="49"/>
      <c r="D76" s="36" t="s">
        <v>85</v>
      </c>
      <c r="E76" s="68"/>
      <c r="F76" s="69">
        <v>1900000</v>
      </c>
      <c r="G76" s="69"/>
      <c r="H76" s="69"/>
      <c r="I76" s="14">
        <f t="shared" si="0"/>
        <v>1900000</v>
      </c>
      <c r="J76" s="2">
        <f t="shared" si="1"/>
        <v>1900000</v>
      </c>
      <c r="K76" s="38"/>
      <c r="L76" s="70"/>
      <c r="M76" s="37"/>
      <c r="N76" s="37"/>
    </row>
    <row r="77" spans="3:14" ht="24.95" customHeight="1" thickBot="1">
      <c r="C77" s="50" t="s">
        <v>70</v>
      </c>
      <c r="D77" s="51"/>
      <c r="E77" s="52"/>
      <c r="F77" s="39">
        <f>SUM(F13:F76)</f>
        <v>44442000</v>
      </c>
      <c r="G77" s="39">
        <f>SUM(G13:G76)</f>
        <v>700000</v>
      </c>
      <c r="H77" s="39">
        <f>SUM(H13:H76)</f>
        <v>0</v>
      </c>
      <c r="I77" s="40">
        <f>SUM(I13:I76)</f>
        <v>44442000</v>
      </c>
      <c r="J77" s="5">
        <f>SUM(J13:J76)</f>
        <v>44442000</v>
      </c>
      <c r="K77" s="41"/>
      <c r="L77" s="42"/>
      <c r="M77" s="42"/>
      <c r="N77" s="43"/>
    </row>
  </sheetData>
  <mergeCells count="10">
    <mergeCell ref="C65:C71"/>
    <mergeCell ref="C72:C76"/>
    <mergeCell ref="C77:E77"/>
    <mergeCell ref="C3:G7"/>
    <mergeCell ref="C10:N11"/>
    <mergeCell ref="C13:C26"/>
    <mergeCell ref="C27:C38"/>
    <mergeCell ref="C39:C43"/>
    <mergeCell ref="C44:C55"/>
    <mergeCell ref="C56:C64"/>
  </mergeCells>
  <phoneticPr fontId="1" type="noConversion"/>
  <dataValidations count="2">
    <dataValidation type="list" allowBlank="1" showInputMessage="1" showErrorMessage="1" sqref="K1:K1048576" xr:uid="{155C85ED-544F-453C-85BB-B02335711298}">
      <formula1>"현금,카드"</formula1>
    </dataValidation>
    <dataValidation type="list" allowBlank="1" showInputMessage="1" showErrorMessage="1" sqref="L1:L1048576" xr:uid="{61B40C30-9FD8-475C-ABC3-6CD0E2ACFB42}">
      <formula1>"신랑,신부"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예산표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kyx</dc:creator>
  <cp:lastModifiedBy>User60</cp:lastModifiedBy>
  <dcterms:created xsi:type="dcterms:W3CDTF">2024-10-19T06:53:55Z</dcterms:created>
  <dcterms:modified xsi:type="dcterms:W3CDTF">2024-11-15T00:44:54Z</dcterms:modified>
</cp:coreProperties>
</file>